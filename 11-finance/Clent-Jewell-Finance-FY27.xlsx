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hflow Budget FY27" sheetId="1" r:id="rId4"/>
    <sheet state="visible" name="Child Support — S&amp;K" sheetId="2" r:id="rId5"/>
    <sheet state="visible" name="Net Worth Forecast — 1 Oct 2026" sheetId="3" r:id="rId6"/>
    <sheet state="visible" name="Net Worth 7 Jul 2026" sheetId="4" r:id="rId7"/>
    <sheet state="visible" name="Summary — Situation" sheetId="5" r:id="rId8"/>
    <sheet state="visible" name="Insights &amp; Recommendations" sheetId="6" r:id="rId9"/>
  </sheets>
  <definedNames/>
  <calcPr/>
  <extLst>
    <ext uri="GoogleSheetsCustomDataVersion2">
      <go:sheetsCustomData xmlns:go="http://customooxmlschemas.google.com/" r:id="rId10" roundtripDataChecksum="pfGbudd7VfTyeXtH7++VklMKWHQtJI0ERitqloYBcI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7">
      <text>
        <t xml:space="preserve">======
ID#AAACEjz4A6s
Clent Jewell    (2026-07-28 04:54:05)
Balga</t>
      </text>
    </comment>
    <comment authorId="0" ref="C63">
      <text>
        <t xml:space="preserve">======
ID#AAACF9HK1BA
Clent Jewell    (2026-08-27 03:10:10)
Team account didn't refunded anthropic refused.</t>
      </text>
    </comment>
    <comment authorId="0" ref="C94">
      <text>
        <t xml:space="preserve">======
ID#AAACFzvUDfc
Clent Jewell    (2026-08-21 03:29:46)
paid 08/14</t>
      </text>
    </comment>
    <comment authorId="0" ref="C142">
      <text>
        <t xml:space="preserve">======
ID#AAACEjz4A6o
Clent Jewell    (2026-07-28 06:17:28)
House Rates</t>
      </text>
    </comment>
    <comment authorId="0" ref="C69">
      <text>
        <t xml:space="preserve">======
ID#AAACF9HK1BQ
Clent Jewell    (2026-08-27 03:21:51)
to check - what this item is</t>
      </text>
    </comment>
    <comment authorId="0" ref="M143">
      <text>
        <t xml:space="preserve">======
ID#AAACEjz4A6w
Clent Jewell    (2026-07-28 06:17:41)
Car Rego, etc</t>
      </text>
    </comment>
  </commentList>
  <extLst>
    <ext uri="GoogleSheetsCustomDataVersion2">
      <go:sheetsCustomData xmlns:go="http://customooxmlschemas.google.com/" r:id="rId1" roundtripDataSignature="AMtx7mjwa6ocv1Eji4cyvHV3+Xa6VR8a4w=="/>
    </ext>
  </extLst>
</comments>
</file>

<file path=xl/sharedStrings.xml><?xml version="1.0" encoding="utf-8"?>
<sst xmlns="http://schemas.openxmlformats.org/spreadsheetml/2006/main" count="883" uniqueCount="743">
  <si>
    <t>Child Support — Sierra &amp; Kyah — 50/50 shared-cost ledger (BCSA)</t>
  </si>
  <si>
    <t>CLENT JEWELL — Personal &amp; Business Cashflow Budget  ·  FY27 (Jul 2026 – Jun 2027)</t>
  </si>
  <si>
    <t>CLENT JEWELL — Personal Statement of Net Worth</t>
  </si>
  <si>
    <t>CLENT JEWELL — Net Worth Forecast · 1 Oct 2026 (Post-Settlement)</t>
  </si>
  <si>
    <t>AT A GLANCE</t>
  </si>
  <si>
    <t>Forecast basis: 7 Jul 2026 net worth rolled forward through Jul–Sep 2026 (selling costs + personal/business burn) · AUD · v2.1 · Updated 31 Jul 2026 · Live formulas link to 'Net Worth 7 Jul 2026' and 'Cashflow Budget FY27' · Yellow = editable assumptions. Now reflects worst-case Aug/Sep income, relocation costs and repaired subtotal formulas.</t>
  </si>
  <si>
    <t>Reconciled to $0 on 16 Jun 2026 (per accounts).</t>
  </si>
  <si>
    <t>v1.6 · Prepared 7 Jul 2026 · Updated 21 Aug 2026 · AUD · Assumption cells shaded yellow · Aug opening re-anchored to live NAB 31 Jul; Aug WalterWealth/Adam Hall zeroed (worst case); relocation costs added; $25k JIG bridge modelled Aug in / Sep out; rows 140-171 removed and subtotal formulas repai</t>
  </si>
  <si>
    <t>As at 7 July 2026 · AUD · v1.2 · Green = liquid, Amber = locked/entity/assumption, Red = liability · NAB/Macquarie live 7 Jul</t>
  </si>
  <si>
    <t>Opening cash 1 Jul</t>
  </si>
  <si>
    <t>Net balance (positive = Clent owes Matina; negative = Matina owes Clent):</t>
  </si>
  <si>
    <t>PERIOD</t>
  </si>
  <si>
    <t>A.  NET WORTH BRIDGE — 7 JUL 2026 → 1 OCT 2026</t>
  </si>
  <si>
    <t>ITEM</t>
  </si>
  <si>
    <t>Value</t>
  </si>
  <si>
    <t>As-at</t>
  </si>
  <si>
    <t>Status</t>
  </si>
  <si>
    <t>Source / Notes</t>
  </si>
  <si>
    <t>FY27 Clent share to date:</t>
  </si>
  <si>
    <t>FY Total</t>
  </si>
  <si>
    <t>Av/mo</t>
  </si>
  <si>
    <t>Comments / Source</t>
  </si>
  <si>
    <t>% of Total Assets</t>
  </si>
  <si>
    <t>Cash at 31 Jul (live, post-run)</t>
  </si>
  <si>
    <t>AMOUNT</t>
  </si>
  <si>
    <t>DETAIL / SOURCE</t>
  </si>
  <si>
    <t>BCSA: no periodic support; Clent pays 50% school fees + 50% medical/dental after rebates. Standard uniforms each parent buys own. Automation: new claims from matinajewell@proton.me land in the Inbox section (right) for approval — NOT auto-posted.</t>
  </si>
  <si>
    <t>OPENING CASH</t>
  </si>
  <si>
    <t>A.  ASSETS</t>
  </si>
  <si>
    <t>Archive: full 98-row payment history stays in the original Google Sheet "Sierra &amp; Kyah Payments 2025" (id 17kt60-RVyy41JkgYDZZn2jvvJk80FBfsOx3OOymqbmc) — this tab is a clean forward-looking ledger from the 16 Jun 2026 reconciliation.</t>
  </si>
  <si>
    <t>Net worth 7 Jul 2026</t>
  </si>
  <si>
    <t>Per 'Net Worth 7 Jul 2026' tab (live formula).</t>
  </si>
  <si>
    <t xml:space="preserve">  Cash &amp; Equivalents (personal)</t>
  </si>
  <si>
    <t>Hub24 bridge draw (Aug)</t>
  </si>
  <si>
    <t>− Selling costs (agent commission + conveyancing + selling extras)</t>
  </si>
  <si>
    <t>Personal</t>
  </si>
  <si>
    <t>Commission $30,000 + conveyancing $1,980 (quoted $1,800+GST Border Conveyancing) + extras $3,354 (live from Cashflow tab, Sep-26 column).</t>
  </si>
  <si>
    <t xml:space="preserve">    NAB Loan Offset (…422998)</t>
  </si>
  <si>
    <t>Liquid</t>
  </si>
  <si>
    <t>Offsets home loan. LIVE NAB internet banking 7 Jul 2026 (was $56,122.84 in 22-Jun CSV).</t>
  </si>
  <si>
    <t>− Personal burn Jul–Sep (net, excl. sale)</t>
  </si>
  <si>
    <t>Live from Cashflow NET PERSONAL CASHFLOW (Jul–Sep). Updated 31 Jul 2026: now includes relocation (removalists $2,000 + storage $400) and $1,000/mo buffer, and excludes the ClearView double-count that was inflating this line by $429/mo.</t>
  </si>
  <si>
    <t>Updated: 22/07</t>
  </si>
  <si>
    <t xml:space="preserve">    NAB Personal Trans (…699713)</t>
  </si>
  <si>
    <t>Date</t>
  </si>
  <si>
    <t>− Business burn Jul–Sep (net)</t>
  </si>
  <si>
    <t>FY</t>
  </si>
  <si>
    <t>LIVE NAB 7 Jul 2026.</t>
  </si>
  <si>
    <t>Term</t>
  </si>
  <si>
    <t>Child</t>
  </si>
  <si>
    <t>Category</t>
  </si>
  <si>
    <t>Live from Cashflow NET BUSINESS CASHFLOW (Jul–Sep). Updated 31 Jul 2026: worst case — no WalterWealth or Adam Hall banked in Aug or Sep. Also now correctly includes Legal $350 + BAS $1,212, which the old TOTAL BUSINESS EXPENSES formula omitted entirely.</t>
  </si>
  <si>
    <t>BCSA?</t>
  </si>
  <si>
    <t>Description</t>
  </si>
  <si>
    <t>Total cost</t>
  </si>
  <si>
    <t>Rebate</t>
  </si>
  <si>
    <t>Net</t>
  </si>
  <si>
    <t>Clent 50%</t>
  </si>
  <si>
    <t>Who fronted</t>
  </si>
  <si>
    <t>Direction</t>
  </si>
  <si>
    <t>Settled $</t>
  </si>
  <si>
    <t>Running balance</t>
  </si>
  <si>
    <t>Invoice link</t>
  </si>
  <si>
    <t>Receipt link</t>
  </si>
  <si>
    <t>Source email</t>
  </si>
  <si>
    <t xml:space="preserve">    NAB Child Support (…652565)</t>
  </si>
  <si>
    <t>Comment</t>
  </si>
  <si>
    <t>MonthKey</t>
  </si>
  <si>
    <t>MONTHLY ROLLUP — Clent 50% by category (reconciles to cashflow kids lines)</t>
  </si>
  <si>
    <t>FORECAST NET WORTH 1 OCT 2026</t>
  </si>
  <si>
    <t>Opening balance — reconciled to $0 on 16 Jun 2026 (per accounts)</t>
  </si>
  <si>
    <t>≈ $1.13M — settlement + three months of burn rolled forward. Ties exactly to the balance-sheet total in Section B below.</t>
  </si>
  <si>
    <t>Month</t>
  </si>
  <si>
    <t>School Fees</t>
  </si>
  <si>
    <t>Uniforms</t>
  </si>
  <si>
    <t>Medical</t>
  </si>
  <si>
    <t>Dental-Ortho</t>
  </si>
  <si>
    <t>Psychology</t>
  </si>
  <si>
    <t>Activities</t>
  </si>
  <si>
    <t>Excursions</t>
  </si>
  <si>
    <t>Other</t>
  </si>
  <si>
    <t>Total Clent 50%</t>
  </si>
  <si>
    <t>Settled</t>
  </si>
  <si>
    <t xml:space="preserve">    NAB Float (…845515)</t>
  </si>
  <si>
    <t>Still owing</t>
  </si>
  <si>
    <t>LIVE NAB 7 Jul 2026 — confirmed $0.00; staleness cleared.</t>
  </si>
  <si>
    <t>T2 2026</t>
  </si>
  <si>
    <t>B.  FORECAST BALANCE SHEET — 1 OCT 2026</t>
  </si>
  <si>
    <t>Kyah</t>
  </si>
  <si>
    <t>N</t>
  </si>
  <si>
    <t>Jazz shoes (rep dance)</t>
  </si>
  <si>
    <t xml:space="preserve">  Cash &amp; Equivalents — subtotal</t>
  </si>
  <si>
    <t>Matina</t>
  </si>
  <si>
    <t>ASSETS</t>
  </si>
  <si>
    <t>Personal liquid cash. Business accounts sit inside Jewell Group equity.</t>
  </si>
  <si>
    <t>Paid-in-full</t>
  </si>
  <si>
    <t>Link</t>
  </si>
  <si>
    <t>Personal cash (offset/loan repaid — fully unencumbered)</t>
  </si>
  <si>
    <t xml:space="preserve">  Property</t>
  </si>
  <si>
    <t>7 Jul personal liquid + house sale net proceeds + Jul–Sep personal burn. The $25,000 JIG bridge is drawn in Aug and repaid at settlement, so it nets to zero by 1 Oct and does not appear here.</t>
  </si>
  <si>
    <t xml:space="preserve">    10 Buncrana Terrace (home)</t>
  </si>
  <si>
    <t>Contracted</t>
  </si>
  <si>
    <t>Hub24 Super — Clent (flat assumption, locked)</t>
  </si>
  <si>
    <t>SIGNED contract 29 Jun 2026 @ $1,950,000 (purchaser M. Gyles; Coastal Property Collective). Completion 90 days after contract ≈ 27 Sep 2026. Deposit $100,000 accepted in lieu of full 10% (held in trust to completion). 8% p.a. interest if completion late. Replaces prior $2.0M assumption.</t>
  </si>
  <si>
    <t>No change assumed between 7 Jul and 1 Oct.</t>
  </si>
  <si>
    <t>Only forwarded to accounts 7 Jul; missed the 16 Jun reconciliation. Not BCSA-covered (rep-dance extra).
Update: paid 15 Jul 2026</t>
  </si>
  <si>
    <t xml:space="preserve">  Superannuation</t>
  </si>
  <si>
    <t>JIG interests (Hub24 JIG + Macquarie + Div7A loan — REPAID to JIG at settlement)</t>
  </si>
  <si>
    <t>Hub24 JIG + Macquarie + Div7A receivable. The $25,000 Aug sell-down does not reduce this: Hub24 falls $25k and JIG picks up a $25k loan receivable, repaid from settlement. Composition changes, total does not.</t>
  </si>
  <si>
    <t>Jewell Group (Trust) equity</t>
  </si>
  <si>
    <t xml:space="preserve">    Hub24 Super — Clent (a/c 24067445)</t>
  </si>
  <si>
    <t>Locked</t>
  </si>
  <si>
    <t>Accumulation, fully preserved. Since-inception report 7/7/2026. Composition 6/7/26: Managed Ptf 186,473.54; Aust Listed Sec 169,485.03; Managed Funds 37,339.38; Cash 13,025.93. Tax-free 30,624.72 / taxable 375,699.16. Beneficiaries Kyah 50% / Sierra 50%. Adviser Nick Walter.</t>
  </si>
  <si>
    <t>Trust equity 13,744.10 + business cashflow Jul–Sep. AMBER and now negative on worst-case income — the business is consuming personal capital monthly. Pipeline conversion (BTC/EWU/Meridiam/All Coast) is the fix, not cost cuts.</t>
  </si>
  <si>
    <t xml:space="preserve">  Entity Interests</t>
  </si>
  <si>
    <t>TOTAL ASSETS</t>
  </si>
  <si>
    <t xml:space="preserve">    Jewell Investment Group (JIG)</t>
  </si>
  <si>
    <t>Personal cash + Super + Entity interests.</t>
  </si>
  <si>
    <t>Both</t>
  </si>
  <si>
    <t>Y</t>
  </si>
  <si>
    <t>22 Jun batch: Dr Tovey appt-3 $103 (net) + dentist $71.50 + medicine $8.48 + Kyah jacket $37.50</t>
  </si>
  <si>
    <t xml:space="preserve">      Hub24 JIG Investment (a/c 24338104)</t>
  </si>
  <si>
    <t>Owner: JIG Pty Ltd. Holdings GARP 38,581.20 / HNDQ 28,465.92 / IJP 32,145.50 / cash 4,092.40. Net deposits $92,500.</t>
  </si>
  <si>
    <t>LIABILITIES</t>
  </si>
  <si>
    <t xml:space="preserve">      Macquarie accounts (JIG): Accelerator + CMA</t>
  </si>
  <si>
    <t>Status unclear — likely not actioned; dentist figure duplicates the 29-May item (paid 11 Jun) — VERIFY against receipts before paying. Grouped row (medical + $37.50 uniform).
Update: paid 2 Jul 2026</t>
  </si>
  <si>
    <t>Personal tax provision</t>
  </si>
  <si>
    <t>LIVE 7 Jul 2026 (screenshot): Cash Mgmt Accelerator 182-500|000942365818 $11.76 + Cash Mgmt Account 182-512|000974533598 $2.73 = $14.49. Both account-named JEWELL INVESTMENT GROUP PTY LTD. Staleness flag cleared. (Note: this line was previously mis-listed as a personal cash row; corrected — both Macquarie accounts are JIG-owned, not personal.)</t>
  </si>
  <si>
    <t>Unchanged — payable Apr-27.</t>
  </si>
  <si>
    <t xml:space="preserve">      Div 7A loan receivable (JIG→Trust)</t>
  </si>
  <si>
    <t>Home loan (NAB …008867)</t>
  </si>
  <si>
    <t>Entity</t>
  </si>
  <si>
    <t>7-yr complying loan at ATO benchmark from 15 May 2025. Asset of JIG / liability of Jewell Group Trust. Recoverable from trust — amber. Adjudication #6. This receivable is repaid in full to JIG at house settlement (~27 Sep 2026) — see 'Net Worth Forecast — 1 Oct 2026' tab where it converts to settled JIG cash.</t>
  </si>
  <si>
    <t>REPAID AT SETTLEMENT — CLEARED. Was −$1,457,705.02 at 7 Jul 2026.</t>
  </si>
  <si>
    <t>TOTAL LIABILITIES</t>
  </si>
  <si>
    <t xml:space="preserve">    JIG — subtotal</t>
  </si>
  <si>
    <t>Sierra</t>
  </si>
  <si>
    <t>Personal tax provision only — home loan cleared.</t>
  </si>
  <si>
    <t>Hub24 + Macquarie + Div 7A receivable.</t>
  </si>
  <si>
    <t>School uniform (Midford: bag/shorts/hoodie)</t>
  </si>
  <si>
    <t xml:space="preserve">    Jewell Group (Trust) — equity per Xero</t>
  </si>
  <si>
    <t>Xero net equity of Jewell Group Pty Ltd (corporate trustee) 7 Jul 2026. Includes business cash &amp; biz CC. Amber. Adjudication #6. NOTE: this Trust equity figure already nets the Div7A amount as a liability — this receivable (B20) and that embedded liability are two sides of one inter-company loan and cancel in total net worth. Removing/repaying does not change total net worth, only its composition (receivable → cash).</t>
  </si>
  <si>
    <t>NET WORTH ≈ 1 OCT 2026 (Assets − Liabilities)</t>
  </si>
  <si>
    <t>Cross-check: equals the bridge total in Section A (both derived from the same live inputs).</t>
  </si>
  <si>
    <t>Paid 6 Jul 2026 ; receipt on file 7 Jul.</t>
  </si>
  <si>
    <t xml:space="preserve">  Entity Interests — subtotal</t>
  </si>
  <si>
    <t>JIG + Jewell Group equity.</t>
  </si>
  <si>
    <t>ASSET MIX (1 OCT 2026)</t>
  </si>
  <si>
    <t>% of forecast net worth</t>
  </si>
  <si>
    <t>Zanda Health psychologist</t>
  </si>
  <si>
    <t>TOTAL ASSETS (A)</t>
  </si>
  <si>
    <t>Clent</t>
  </si>
  <si>
    <t>Liquid (personal cash)</t>
  </si>
  <si>
    <t>Cash + Property + Super + Entity interests.</t>
  </si>
  <si>
    <t>Paid direct, outside Matina channel. Amount TBC (paid direct); neutral to the inter-parent balance.</t>
  </si>
  <si>
    <t>B.  LIABILITIES</t>
  </si>
  <si>
    <t>Super (locked)</t>
  </si>
  <si>
    <t>T3 2026</t>
  </si>
  <si>
    <t xml:space="preserve">    NAB Home Loan (…008867)</t>
  </si>
  <si>
    <t>Liability</t>
  </si>
  <si>
    <t>Lindisfarne Term 3 2026</t>
  </si>
  <si>
    <t>6.04% from 15 May 2026; min repayment $8,669.04/mo; $8/mo fee. Personal liability. Balance confirmed LIVE 7 Jul 2026.</t>
  </si>
  <si>
    <t>Entity (JIG + Trust, net)</t>
  </si>
  <si>
    <t xml:space="preserve">    Personal tax provision</t>
  </si>
  <si>
    <t>Personal tax payable Apr-27 (per Cashflow). Amber/liability.</t>
  </si>
  <si>
    <t>— vs 7 Jul 2026: Liquid share</t>
  </si>
  <si>
    <t>TOTAL LIABILITIES (B)</t>
  </si>
  <si>
    <t>Scheduled 19 Jul 2026; paid direct to school (per BCSA cl.3.4) not via Matina reimbursement. FY27. Neutral to inter-parent balance.
Paid 20 Jul 2026.</t>
  </si>
  <si>
    <t>Home loan + personal tax provision. Business credit card −$10,917.86 sits inside Jewell Group equity (memo below).</t>
  </si>
  <si>
    <t xml:space="preserve">    (memo) NAB Biz Credit Card (•4231)</t>
  </si>
  <si>
    <t>Settlement transforms the balance sheet: from ~$55k accessible to ~$472k accessible. Decisions shift from ‘survive to settlement’ to ‘deploy capital + control burn’.</t>
  </si>
  <si>
    <t>Business liability — inside Jewell Group equity, NOT added to personal liabilities. LIVE NAB 7 Jul 2026 (was −$10,917.86).</t>
  </si>
  <si>
    <t>T1 2026</t>
  </si>
  <si>
    <t>Dr Tovey psychiatrist appt-1 ($336.50 Clent share)</t>
  </si>
  <si>
    <t>C.  DERIVED</t>
  </si>
  <si>
    <t>C.  RUNWAY &amp; SCENARIOS (HORIZON FROM 1 OCT 2026)</t>
  </si>
  <si>
    <t>Matina claims unpaid (chased 13 &amp; 22 Jun); accounts confirm PAID 14 May 2026 (receipt $396.50 = $336.50 + $60 Kyah dance). RESOLVE directly with Matina — do not re-pay. Nets to $0 (settled) but flagged.
Paid 14 May 2026. Actual NAB transaction was $396.50 because it was bundled with a $60.00 payment for Kyah's Term 2 rep dance.</t>
  </si>
  <si>
    <t>NET WORTH  (Assets − Liabilities)</t>
  </si>
  <si>
    <t>Combined liquid cash at settlement (personal + business)</t>
  </si>
  <si>
    <t>Liabilities are negative, so added.</t>
  </si>
  <si>
    <t>Live from Cashflow CLOSING CASH, Sep-26 column. Bridge already repaid at settlement, so this is clean unencumbered cash.</t>
  </si>
  <si>
    <t>School rep dance team at the Gold Coast Eisteddfod</t>
  </si>
  <si>
    <t>LIVE NAB 31 Jul 2026 (post-payment run): personal trans 1,968.95. Aug opening re-anchored to actuals, not to July closing — July closing is a forecast, this is the bank.</t>
  </si>
  <si>
    <t>Closing Aug-26</t>
  </si>
  <si>
    <t xml:space="preserve">  Net equity — home</t>
  </si>
  <si>
    <t>Aug close + Sep burn, adding back contractors ($3,550) paid 30 Sep — i.e. AFTER settlement on 28 Sep.</t>
  </si>
  <si>
    <t>Home value − home loan.</t>
  </si>
  <si>
    <t>Business</t>
  </si>
  <si>
    <t>SCENARIO</t>
  </si>
  <si>
    <t>Personal burn/mo</t>
  </si>
  <si>
    <t>Business burn/mo</t>
  </si>
  <si>
    <t>Paid 22 Jul 2026.</t>
  </si>
  <si>
    <t xml:space="preserve">  LVR % (loan ÷ home value)</t>
  </si>
  <si>
    <t>Pipeline/BTC adj/mo</t>
  </si>
  <si>
    <t>Net burn/mo</t>
  </si>
  <si>
    <t>Runway (months)</t>
  </si>
  <si>
    <t>Cash-out date</t>
  </si>
  <si>
    <t>Notes</t>
  </si>
  <si>
    <t>Loan $1,455,828 ÷ home $1,950,000 (contracted price). Corrected 31 Jul 2026 — previously read "$2.0M".</t>
  </si>
  <si>
    <t>LIVE NAB 31 Jul 2026: Biz Trans 7,992.60 less today's run 3,889.09 (Lizelle 869.59 + Rao 819.50 + Ronnie 2,000.00 + Nicole 200.00) = 4,103.51.</t>
  </si>
  <si>
    <t>1. Base AU (rent $3,500, current spend)</t>
  </si>
  <si>
    <t>Pre-settlement trough (late Sep)</t>
  </si>
  <si>
    <t>Aug close + Sep burn, adding back contractors (paid 30 Sep, AFTER settlement on 28 Sep).</t>
  </si>
  <si>
    <t xml:space="preserve">  Liquid (personal cash)</t>
  </si>
  <si>
    <t>Visa credit card</t>
  </si>
  <si>
    <t>Meg O'Brien Psychology appointment</t>
  </si>
  <si>
    <t>Accessible now.</t>
  </si>
  <si>
    <t xml:space="preserve">  Locked (super + property + entity)</t>
  </si>
  <si>
    <t>Clent owes Matina</t>
  </si>
  <si>
    <t>Current model — AU rent + conservative business income. SUPERSEDED — Clent's edits make SEA-from-Oct the base case.</t>
  </si>
  <si>
    <t>Awaiting approval</t>
  </si>
  <si>
    <t>Not readily accessible.</t>
  </si>
  <si>
    <t>Trough WITHOUT the bridge</t>
  </si>
  <si>
    <t>2. SE Asia comfortable (Bangkok/KL/Canggu)</t>
  </si>
  <si>
    <t>Not yet paid</t>
  </si>
  <si>
    <t>What the trough would be if the Hub24 draw did not happen. This is the number the bridge exists to fix.</t>
  </si>
  <si>
    <t>Cash offset acc</t>
  </si>
  <si>
    <t>All-in ≈A$4.0k/mo incl. expat health + AU return flights.</t>
  </si>
  <si>
    <t>3. SE Asia lean (Chiang Mai/Da Nang/HCMC)</t>
  </si>
  <si>
    <t>Prepared 7 Jul 2026 · Sources: NAB/Macquarie/Hub24 exports 7 Jul 2026, Xero, bookkeeper FY27 draft · Assumptions marked yellow · See MEMO block below for the live 31 Jul 2026 position — this statement itself is deliberately left as at 7 Jul so the 'Net Worth Forecast — 1 Oct 2026' bridge keeps a single dated baseline.</t>
  </si>
  <si>
    <t>All-in ≈A$2.3k/mo incl. expat health + AU return flights. Matches Clent's base plan now (rent $1,200/mo).</t>
  </si>
  <si>
    <t>Settlement 28 Sep (net)</t>
  </si>
  <si>
    <t>4. SE Asia lean + pipeline partial</t>
  </si>
  <si>
    <t>Living Well Psychology</t>
  </si>
  <si>
    <t>Maxxim</t>
  </si>
  <si>
    <t>+$5,000/mo net new business revenue (EWU win-back / Meridiam / All Coast).</t>
  </si>
  <si>
    <t>LIQUID vs LOCKED (mini view)</t>
  </si>
  <si>
    <t>5. SE Asia + BTC lands</t>
  </si>
  <si>
    <t>Closing Sep-26 (post-settlement)</t>
  </si>
  <si>
    <t>Still assumes Oct-Jun retainers land. Not a worst case beyond September.</t>
  </si>
  <si>
    <t>+$34,400/mo net — Beyond the Clinic funding decision. Cash-positive.</t>
  </si>
  <si>
    <t>Child support</t>
  </si>
  <si>
    <t>All scenarios include BCSA obligations: 50% school fees (~$14k/yr, rising) + 50% kids' medical to ~2030/2032.</t>
  </si>
  <si>
    <t>Visa timing — CHANGED 31 Jul 2026: the $25k bridge CANNOT double as DTV seasoning, because it is repaid at settlement on 28 Sep. Thailand DTV needs ~A$21k seasoned ~3 months, so seasoning now starts from settlement (Oct) → apply from ~Jan 2027, not Nov 2026. Runway/cash-out dates assume the scenario's net burn holds constant from 1 Oct 2026.</t>
  </si>
  <si>
    <t>FY27 close (Jun-27)</t>
  </si>
  <si>
    <t>Still assumes Oct-Jun retainers land. Worst case is modelled through September only.</t>
  </si>
  <si>
    <t>Float</t>
  </si>
  <si>
    <t>Updated 31 Jul 2026 · Formulas link live to 'Net Worth 7 Jul 2026' and 'Cashflow Budget FY27' · Yellow cells are editable scenario assumptions (personal burn / business burn / pipeline-BTC adjustment).</t>
  </si>
  <si>
    <t>Locked (super + property + entity)</t>
  </si>
  <si>
    <t>Macquarie bank - cash</t>
  </si>
  <si>
    <t>MEMO — POSITION AT 31 JUL 2026 (this statement remains as at 7 Jul; figures below are the later live read)</t>
  </si>
  <si>
    <t xml:space="preserve">  NAB Loan Offset (…422998)</t>
  </si>
  <si>
    <t>31 Jul 2026</t>
  </si>
  <si>
    <t>LIVE NAB 31 Jul 2026 (was $52,922.84 @ 7 Jul) — offset drawn down $26,473 over the month.</t>
  </si>
  <si>
    <t xml:space="preserve">  NAB Personal Trans (…699713)</t>
  </si>
  <si>
    <t>LIVE NAB 31 Jul 2026.</t>
  </si>
  <si>
    <t xml:space="preserve">  NAB Child Support (…652565)</t>
  </si>
  <si>
    <t xml:space="preserve">  NAB Biz Trans (…611444)</t>
  </si>
  <si>
    <t>LIVE NAB 31 Jul 2026 after the 31 Jul run (7,992.60 − 3,889.09).</t>
  </si>
  <si>
    <t>FY27 total</t>
  </si>
  <si>
    <t xml:space="preserve">  NAB Maxxim (…426985)</t>
  </si>
  <si>
    <t xml:space="preserve">  NAB Biz Credit Card (•4231)</t>
  </si>
  <si>
    <t>LIVE NAB 31 Jul 2026 (was −$8,917.86 @ 7 Jul). Limit $10,000 — NOT to be used as the bridge (Clent).</t>
  </si>
  <si>
    <t xml:space="preserve">  NAB Home Loan (…008867)</t>
  </si>
  <si>
    <t>LIVE NAB 31 Jul 2026 (was −$1,457,705.02 @ 7 Jul).</t>
  </si>
  <si>
    <t xml:space="preserve">  Combined liquid cash at 31 Jul 2026</t>
  </si>
  <si>
    <t>Personal + business, excluding Macquarie (JIG-owned). This is the anchor for the Aug column on the Cashflow tab.</t>
  </si>
  <si>
    <t>INBOX — TO APPROVE (matinajewell@proton.me claims)</t>
  </si>
  <si>
    <t xml:space="preserve">  JIG bridge — $25,000 Hub24 sell-down</t>
  </si>
  <si>
    <t>Requested from Nick Walter 31 Jul 2026, to land on/around 15 Aug (Saturday — expect Fri 14 or Mon 17 Aug). Hub24 JIG a/c 24338104 → Macquarie CMA (JIG) → NAB. Repaid from settlement 28 Sep. Net worth unchanged: Hub24 falls $25k, JIG gains a $25k receivable.</t>
  </si>
  <si>
    <t>The weekly routine appends new matinajewell@proton.me claims here; Clent moves approved ones up into the ledger. Prevents double-paying her repeat reminders.</t>
  </si>
  <si>
    <t>Date received</t>
  </si>
  <si>
    <t>From</t>
  </si>
  <si>
    <t>Subject</t>
  </si>
  <si>
    <t>Extracted item</t>
  </si>
  <si>
    <t>Extracted amount</t>
  </si>
  <si>
    <t>Suggested Clent 50%</t>
  </si>
  <si>
    <t>Matched to existing?</t>
  </si>
  <si>
    <t>→ triage</t>
  </si>
  <si>
    <t>School Fees Schedule 2027</t>
  </si>
  <si>
    <t>Macquarie CMA — JIG-owned, excluded from personal/business cash (consistent with Net Worth tab).</t>
  </si>
  <si>
    <t>Macquarie bank - cash accelorator</t>
  </si>
  <si>
    <t>Macquarie Accelerator — JIG-owned, excluded (consistent with Net Worth tab).</t>
  </si>
  <si>
    <t>OPENING CASH (combined)</t>
  </si>
  <si>
    <t>Aug opening = LIVE NAB 31 Jul 2026 actuals (re-anchor). Later months = prior month closing. Jul closing is forecast and will differ slightly from the Aug re-anchor.</t>
  </si>
  <si>
    <t>BUSINESS INCOME  (confirmed / conservative)</t>
  </si>
  <si>
    <t xml:space="preserve">  Pottsville Retainer</t>
  </si>
  <si>
    <t>Confirmed</t>
  </si>
  <si>
    <t xml:space="preserve">  Annual Web Hosting</t>
  </si>
  <si>
    <t>One-off, billed Jun-27 (bookkeeper draft).</t>
  </si>
  <si>
    <t>WalterWealth</t>
  </si>
  <si>
    <t>Onboarding 59 clients Aug-Dec. WORST CASE 31 Jul 2026: Aug zeroed — not banked until invoiced/received. Oct-Jun retained.</t>
  </si>
  <si>
    <t>Adam Hall</t>
  </si>
  <si>
    <t>Marketplace set-up, then monthly retainer. WORST CASE 31 Jul 2026: Aug zeroed — $5,000 expected but not banked. Oct-Jun retained.</t>
  </si>
  <si>
    <t>Hosting:</t>
  </si>
  <si>
    <t xml:space="preserve">  Ronja Schmidt</t>
  </si>
  <si>
    <t>One-off Jun-27.</t>
  </si>
  <si>
    <t xml:space="preserve">  Cam Sewell</t>
  </si>
  <si>
    <t xml:space="preserve">  Adam Hall</t>
  </si>
  <si>
    <t>TOTAL BUSINESS INCOME</t>
  </si>
  <si>
    <t>Bookkeeper draft states FY income $10,453.31; itemised lines here sum via formula (retainers held 12 mo). Discrepancy flagged. FY26 Xero actual income was $454,208.71 (context only). Held conservative — income to be added by Clent; live pipeline in Asana CRM (~$262k gross unweighted).</t>
  </si>
  <si>
    <t xml:space="preserve">  Pipeline (upside — NOT in totals)</t>
  </si>
  <si>
    <t xml:space="preserve">    BTC — Beyond the Clinic</t>
  </si>
  <si>
    <t>$580k setup + $40k/mo retainer; start 1 May 26; funding-dependent.</t>
  </si>
  <si>
    <t xml:space="preserve">    All Coast Painting</t>
  </si>
  <si>
    <t>$10k setup + $1k/mo.</t>
  </si>
  <si>
    <t xml:space="preserve">    Meridiam</t>
  </si>
  <si>
    <t>$5k setup + $1k/mo.</t>
  </si>
  <si>
    <t xml:space="preserve">    Walter Wealth</t>
  </si>
  <si>
    <t>$2.5k setup + $1k/mo.</t>
  </si>
  <si>
    <t xml:space="preserve">    Evolve with Us</t>
  </si>
  <si>
    <t>$12.7k + $1k/mo (cancelled for cash reasons; may return $3,150/mo).</t>
  </si>
  <si>
    <t xml:space="preserve">    Matt | Trader</t>
  </si>
  <si>
    <t>$25k (proposal).</t>
  </si>
  <si>
    <t xml:space="preserve">    Trent Electrician</t>
  </si>
  <si>
    <t xml:space="preserve">    Undisputed Nutrition</t>
  </si>
  <si>
    <t>$3.5k (proposal).</t>
  </si>
  <si>
    <t xml:space="preserve">    Modinex</t>
  </si>
  <si>
    <t>$10k (new).</t>
  </si>
  <si>
    <t xml:space="preserve">    Global Health</t>
  </si>
  <si>
    <t>$25k (new).</t>
  </si>
  <si>
    <t xml:space="preserve">    Westlake</t>
  </si>
  <si>
    <t>$3.5k (new).</t>
  </si>
  <si>
    <t xml:space="preserve">    GTworks</t>
  </si>
  <si>
    <t>$12.5k (new).</t>
  </si>
  <si>
    <t xml:space="preserve">    TS Finance</t>
  </si>
  <si>
    <t>New — value TBD.</t>
  </si>
  <si>
    <t xml:space="preserve">    Pipeline upside (unweighted, gross) — memo only</t>
  </si>
  <si>
    <t>Asana sync 16 Apr 2026. Gross pipeline $261,731 — memo only, NOT added to any total.</t>
  </si>
  <si>
    <t>Beyond the Clinic</t>
  </si>
  <si>
    <t>Forecast only. Not confirmed.</t>
  </si>
  <si>
    <t>Assurant</t>
  </si>
  <si>
    <t>Jewell Tyres/OTR Earthmover</t>
  </si>
  <si>
    <t>CHEKKU Tradies</t>
  </si>
  <si>
    <t>Ultimate Nutrition</t>
  </si>
  <si>
    <t>Retainers:</t>
  </si>
  <si>
    <t>Ultimate Labs</t>
  </si>
  <si>
    <t>Socials, SEO/GEO, eDM + Order Management</t>
  </si>
  <si>
    <t>BUSINESS EXPENSES</t>
  </si>
  <si>
    <t xml:space="preserve">  Contractors</t>
  </si>
  <si>
    <t xml:space="preserve">  Ronnie (overseas contractor)</t>
  </si>
  <si>
    <t>Overseas contractor. | Clent edit: $2,000/mo (was $1,800).</t>
  </si>
  <si>
    <t xml:space="preserve">  Liz (overseas contractor)</t>
  </si>
  <si>
    <t>Overseas contractor.</t>
  </si>
  <si>
    <t xml:space="preserve">  Rao (overseas contractor)</t>
  </si>
  <si>
    <t xml:space="preserve">  Bookkeeping</t>
  </si>
  <si>
    <t xml:space="preserve">  Contractors overseas — subtotal</t>
  </si>
  <si>
    <t>$3,300/mo total (Ronnie 1,800 + Liz 1,000 + Rao 500). FY $39,600.</t>
  </si>
  <si>
    <t xml:space="preserve">  Subscriptions</t>
  </si>
  <si>
    <t xml:space="preserve">  Asana</t>
  </si>
  <si>
    <t>Monthly SaaS subscription.</t>
  </si>
  <si>
    <t xml:space="preserve">  Adobe</t>
  </si>
  <si>
    <t xml:space="preserve">  Anthropic - Maxx</t>
  </si>
  <si>
    <t xml:space="preserve">  Anthropic - Team/Maxx 2</t>
  </si>
  <si>
    <t xml:space="preserve">  Anthropic tokens</t>
  </si>
  <si>
    <t>Monthly SaaS subscription. | Clent edit: capped at $500/mo (was $1,000).</t>
  </si>
  <si>
    <t xml:space="preserve">  Apple</t>
  </si>
  <si>
    <t xml:space="preserve">  ChatGPT</t>
  </si>
  <si>
    <t xml:space="preserve">  Dropbox</t>
  </si>
  <si>
    <t xml:space="preserve">  Google Workspace</t>
  </si>
  <si>
    <t xml:space="preserve">Monthly SaaS subscription. </t>
  </si>
  <si>
    <t>Google Cloud</t>
  </si>
  <si>
    <t xml:space="preserve">  Go High Level </t>
  </si>
  <si>
    <t>Cancelled. Last bill Jul 6.</t>
  </si>
  <si>
    <t xml:space="preserve">  Wildjar</t>
  </si>
  <si>
    <t xml:space="preserve"> Ask for refund for last three months $495 = 3 x $165. Awaiting ok via Andy</t>
  </si>
  <si>
    <t xml:space="preserve">  WPMUDEV</t>
  </si>
  <si>
    <t xml:space="preserve">  Loveable</t>
  </si>
  <si>
    <t>Cancelled.</t>
  </si>
  <si>
    <t xml:space="preserve">  Namecheap</t>
  </si>
  <si>
    <t xml:space="preserve">  Techpresence</t>
  </si>
  <si>
    <t>Monthly SaaS subscription. Last subs should be Sept 2026</t>
  </si>
  <si>
    <t xml:space="preserve">  Contractor Internet Fee (Ronnie &amp; Liz)</t>
  </si>
  <si>
    <t xml:space="preserve">  Brave</t>
  </si>
  <si>
    <t xml:space="preserve">  Hubbl</t>
  </si>
  <si>
    <t>Cancelled. Ends 28/8</t>
  </si>
  <si>
    <t xml:space="preserve">  Gamma (annual)</t>
  </si>
  <si>
    <t>Cancelled. Active until March.</t>
  </si>
  <si>
    <t xml:space="preserve">  SuperUltra (annual)</t>
  </si>
  <si>
    <t>Cancelled. Active until April, Review in March.</t>
  </si>
  <si>
    <t xml:space="preserve">  Slack</t>
  </si>
  <si>
    <t>Slack 5 users ~US$45/mo (Hubdoc). ~$65 AUD/mo.</t>
  </si>
  <si>
    <t xml:space="preserve">  Supabase</t>
  </si>
  <si>
    <t>Supabase US$25/mo dev infra (Hubdoc). ~$38 AUD/mo.</t>
  </si>
  <si>
    <t xml:space="preserve">  OpenAI API</t>
  </si>
  <si>
    <t>OpenAI API usage, separate from ChatGPT sub — variable, ~US$5-50/mo (Hubdoc). Verify against Xero Subscription-OpenAi ($2,205 FY26).</t>
  </si>
  <si>
    <t xml:space="preserve">  Webroot (annual)</t>
  </si>
  <si>
    <t>Webroot antivirus annual (Hubdoc). $130 billed Jun-27.</t>
  </si>
  <si>
    <t xml:space="preserve">  Surfshark (annual)</t>
  </si>
  <si>
    <t>Billed annually. Next bill March 2028.</t>
  </si>
  <si>
    <t xml:space="preserve">  Circleback</t>
  </si>
  <si>
    <t xml:space="preserve">  Canva (annual)</t>
  </si>
  <si>
    <t>Billed annually. Next bill Feb 2027.</t>
  </si>
  <si>
    <t xml:space="preserve">  Zapier</t>
  </si>
  <si>
    <t xml:space="preserve">Last billed Feb 2026. Review if downgraded in Free plan Feb 2027 </t>
  </si>
  <si>
    <t xml:space="preserve">  Cloudflare </t>
  </si>
  <si>
    <t xml:space="preserve">  Subscriptions — subtotal</t>
  </si>
  <si>
    <t>$2,758.03/mo; $3,135.77 in Apr (Gamma+SuperUltra). FY $33,474.10.</t>
  </si>
  <si>
    <t xml:space="preserve">  Operating Expense</t>
  </si>
  <si>
    <t xml:space="preserve">  Legal Expense</t>
  </si>
  <si>
    <t xml:space="preserve">  Window Cleaning</t>
  </si>
  <si>
    <t xml:space="preserve">  Relocation - removalists (one-off)</t>
  </si>
  <si>
    <t>One-off $2,000 (Clent, 31 Jul 2026). Booked against settlement week — pay on/after 28 Sep if possible.</t>
  </si>
  <si>
    <t xml:space="preserve">  Light, Power &amp; Heating</t>
  </si>
  <si>
    <t>Xero 'Light, Power, Heating'. FY26 $837.65 = $70/mo. Premises — ceases at settlement 28 Sep 2026.</t>
  </si>
  <si>
    <t xml:space="preserve">  Rates - business portion</t>
  </si>
  <si>
    <t>Xero 'Rates'. FY26 $1,284.29 = $107/mo; H2 FY26 cash $601.53. Ceases at settlement 28 Sep 2026. Personal share of Tweed Shire rates is already in personal Miscellaneous.</t>
  </si>
  <si>
    <t xml:space="preserve">  Repairs &amp; Maintenance</t>
  </si>
  <si>
    <t>Xero 'Repairs and Maintenance'. H2 FY26 cash $1,845 = $308/mo (pre-sale property upkeep). Ceases at settlement 28 Sep 2026.</t>
  </si>
  <si>
    <t xml:space="preserve">  Motor Vehicle Expenses</t>
  </si>
  <si>
    <t>Xero 'Motor Vehicle Expenses'. H2 FY26 cash $2,815.81 = $469/mo; FY27 YTD $393.36 to 13 Aug. Held at $400/mo to settlement, then nil on relocation. BMW X5 rego/CTP sits in personal Rego/govt.</t>
  </si>
  <si>
    <t xml:space="preserve">  Travel - National</t>
  </si>
  <si>
    <t>Xero 'Travel - National'. FY26 $24,721.74; H2 FY26 cash $8,563.88 = $1,427/mo; FY27 YTD $1,003.27. Steps down to $250/mo post-relocation (in-country travel only). ASSUMPTION — confirm.</t>
  </si>
  <si>
    <t xml:space="preserve">  Travel - International</t>
  </si>
  <si>
    <t>Xero 'Travel - International'. FY26 $18,419.54; H2 FY26 cash $11,197.45; FY27 YTD $656.28. $300/mo post-relocation for client trips back to AU. One-off relocation flights sit in personal, not here. ASSUMPTION — confirm.</t>
  </si>
  <si>
    <t xml:space="preserve">  Entertainment</t>
  </si>
  <si>
    <t>Xero 'Entertainment'. FY26 $4,475.70; FY27 YTD cash $1,935.99 to 13 Aug — Jul/Aug carry that actual. Steps down to $200/mo post-relocation.</t>
  </si>
  <si>
    <t xml:space="preserve">  Telephone &amp; Internet</t>
  </si>
  <si>
    <t>Xero 'Telephone &amp; Internet'. H2 FY26 cash $1,617.04 = $270/mo; FY27 YTD $287.64. Continues post-relocation. Contractor internet fee is separate, in Subscriptions.</t>
  </si>
  <si>
    <t xml:space="preserve">  Insurance</t>
  </si>
  <si>
    <t>Xero 'Insurance'. FY26 $3,020.06; H2 FY26 cash $2,530.59. Business PI/PL held flat at $250/mo. CHECK: confirm cover is retained, and still valid, once operating from overseas.</t>
  </si>
  <si>
    <t xml:space="preserve">  Bank Fees &amp; FX</t>
  </si>
  <si>
    <t>Xero 'Bank Fees' $2,711.54 FY26 plus realised FX on overseas contractor payments (−$263.38 FY26). H2 FY26 cash $1,438.55; FY27 YTD $185.08. Held at $180/mo as volume falls.</t>
  </si>
  <si>
    <t xml:space="preserve">  Office Expenses</t>
  </si>
  <si>
    <t>Xero 'Office Expenses'. FY26 $5,438.01, but H2 FY26 cash only $432.40 = $72/mo. Modelled on the recent run rate, not the FY26 total — the FY26 figure reflects a staffed AU office that no longer exists.</t>
  </si>
  <si>
    <t xml:space="preserve">  Small Equipment (&lt;$1,000)</t>
  </si>
  <si>
    <t>Xero 'Small Equipment (Less than &lt;$1000)'. FY26 $689.42 = $57/mo.</t>
  </si>
  <si>
    <t xml:space="preserve">  Printing, Postage &amp; Stationery</t>
  </si>
  <si>
    <t>Xero 'Printing &amp; Stationery' $24.07 + 'Postage, Freight &amp; Courier' $17.78 (FY26). Nominal $10/mo.</t>
  </si>
  <si>
    <t xml:space="preserve">  Filing Fees</t>
  </si>
  <si>
    <t>Xero 'Filling Fees'. FY26 $658 = $55/mo. Residual lodgement/filing fees only — the ASIC annual review fee is in Accountant / ASIC (TWB) in the business tax block below.</t>
  </si>
  <si>
    <t xml:space="preserve">  Professional &amp; Consulting</t>
  </si>
  <si>
    <t>Xero 'Professional &amp; Consulting'. FY26 $1,550; FY27 YTD cash $1,250 to 13 Aug, booked to Jul here. No further spend assumed.</t>
  </si>
  <si>
    <t xml:space="preserve">  Advisory Fee</t>
  </si>
  <si>
    <t>Xero 'Advisory Fee'. FY26 $4,500, but nil in H2 FY26 and nil FY27 YTD. Left at nil: FY27 advisory is carried in Accountant / ASIC (TWB) below. Raise this line if a separate adviser is engaged.</t>
  </si>
  <si>
    <t xml:space="preserve">  Other operating (sundry)</t>
  </si>
  <si>
    <t>Xero sundries, FY26: Clothing/laundry $653.91, Donation $205.95, Staff bonus $200, General $65, Client Gifts $22.73, Software $20.26, Interest $16.58 — c. $1,185 total. All nil in H2 FY26 cash and FY27 YTD; assumed not recurring. Merchant/Stripe/GoCardless fees are nil in Xero for FY26.</t>
  </si>
  <si>
    <t xml:space="preserve">  Operating Expense - subtotal</t>
  </si>
  <si>
    <t xml:space="preserve">  Operating — subtotal</t>
  </si>
  <si>
    <t>$2,800/mo base + $2,000 travel (Oct/Jan/Apr). FY $39,600.</t>
  </si>
  <si>
    <t>TOTAL BUSINESS EXPENSES</t>
  </si>
  <si>
    <t>Contractors + Subscriptions + Operating. Bookkeeper FY total $112,674.10.</t>
  </si>
  <si>
    <t xml:space="preserve">  Accountant / ASIC (TWB)</t>
  </si>
  <si>
    <t>Clent's figures, corroborated by TWB email history: annual compliance fee $6,160 (Jun-25) → $8,580 (Mar-26); quarterly TWB fee ~$330; ASIC annual reviews + agent fee ~$620-660/company — Jewell Group Apr, JIG Jun; $96 late fee incurred 2025 — pay April ASIC promptly. Ask TWB which '3rd company' is billed (Clent's 7-Apr-26 email).</t>
  </si>
  <si>
    <t xml:space="preserve">  Company tax</t>
  </si>
  <si>
    <t>Committed prior-year liability; PAYG instalments placed on hold — not varied down (Clent).</t>
  </si>
  <si>
    <t xml:space="preserve">  BAS — GST</t>
  </si>
  <si>
    <t>Small GST amounts each quarter — value TBD (left blank).</t>
  </si>
  <si>
    <t>TOTAL BUSINESS TAX</t>
  </si>
  <si>
    <t>BAS/ASIC + company tax + GST.</t>
  </si>
  <si>
    <t>NET BUSINESS CASHFLOW</t>
  </si>
  <si>
    <t>Business income − business expenses − business tax.</t>
  </si>
  <si>
    <t>PERSONAL EXPENSES</t>
  </si>
  <si>
    <t xml:space="preserve">  Housing</t>
  </si>
  <si>
    <t xml:space="preserve">    Home loan repayment</t>
  </si>
  <si>
    <t>$8,669.04/mo (NAB notice eff 21 Apr 2026 — source of truth; adjudication #1). Bookkeeper $8,800 &amp; garbled $8,973 ignored. Paid Jul–Sep; house CONTRACTED, settles ~27 Sep 2026.</t>
  </si>
  <si>
    <t xml:space="preserve">    Rent (post-sale)</t>
  </si>
  <si>
    <t>Clent: 'Rent in Thailand c. 1200pm'. Replaces prior $3,500 AU-rent assumption from Oct. If back in AU part-year, revisit.</t>
  </si>
  <si>
    <t xml:space="preserve">  Housing — subtotal</t>
  </si>
  <si>
    <t>Home loan (Jul–Sep) switches to rent (Oct–Jun) at sale settlement.</t>
  </si>
  <si>
    <t xml:space="preserve">  Children &amp; Family</t>
  </si>
  <si>
    <t xml:space="preserve">    School fees</t>
  </si>
  <si>
    <t>$3,500/qtr (Jul/Oct/Jan/Apr). 2024 ledger ~$2,600/term = Clent's 50% share of Lindisfarne fees. | BCSA cl.3.3.1: Clent's share is 50%. Actual Lindisfarne T3-2026 invoice $6,650.75 full (due 20 Jul 26); 50% ≈ $3,325/term → model $3,500/qtr is 50% share + small buffer. Kyah steps up to Yrs 7-8 rates from T1-2027 (~+$270/term at 50%). | FY27 actuals tracked in 'Child Support — S&amp;K' tab. Term 3 actual = $3,325.38 (Clent 50%) due 19 Jul; forecast $3,500/qtr held for timing.</t>
  </si>
  <si>
    <t xml:space="preserve">    Psychology</t>
  </si>
  <si>
    <t>Monthly. | BCSA cl.3.3.2: 50% of medical/dental after rebates. | Actuals reconcile from 'Child Support — S&amp;K' tab (Clent 50% of medical/psych after rebates).</t>
  </si>
  <si>
    <t xml:space="preserve">    Dental</t>
  </si>
  <si>
    <t>Estimates only</t>
  </si>
  <si>
    <t xml:space="preserve">    Lessons / activities / sport</t>
  </si>
  <si>
    <t>Monthly.</t>
  </si>
  <si>
    <t xml:space="preserve">    Medical</t>
  </si>
  <si>
    <t xml:space="preserve">  Children &amp; Family — subtotal</t>
  </si>
  <si>
    <t xml:space="preserve">  Health &amp; Insurance</t>
  </si>
  <si>
    <t xml:space="preserve">    Medibank (health)</t>
  </si>
  <si>
    <t>~$200/mo (was $308.01; reduced cover). | Blanked Oct–Dec by Clent (SE Asia window). NOTE: if SEA continues Jan–Jun these months may also need blanking — review. | Suspended during SEA period (Clent) — if stay extends past Dec, keep suspended.</t>
  </si>
  <si>
    <t xml:space="preserve">    ClearView (life)</t>
  </si>
  <si>
    <t>Life insurance, monthly.</t>
  </si>
  <si>
    <t xml:space="preserve">    Travel Insurance</t>
  </si>
  <si>
    <t xml:space="preserve">    Other (out-of-pocket)</t>
  </si>
  <si>
    <t>Monthly. | Includes kids' medical at 50% per BCSA cl.3.3.2 (after rebates). | Actuals reconcile from 'Child Support — S&amp;K' tab (Clent 50% of medical/psych after rebates).</t>
  </si>
  <si>
    <t xml:space="preserve">  Health &amp; Insurance — subtotal</t>
  </si>
  <si>
    <t xml:space="preserve">  Living</t>
  </si>
  <si>
    <t xml:space="preserve">    Groceries</t>
  </si>
  <si>
    <t xml:space="preserve">    Dining out</t>
  </si>
  <si>
    <t xml:space="preserve">    Personal care</t>
  </si>
  <si>
    <t xml:space="preserve">    Miscellaneous</t>
  </si>
  <si>
    <t>Monthly. | Aug: Tweed Shire rates instalment ~$873 (house sells ~Sep — rates stop at settlement; adjustment on settlement statement).</t>
  </si>
  <si>
    <t xml:space="preserve">    Rego / govt</t>
  </si>
  <si>
    <t>Service NSW rego + CTP greenslip (BMW X5) ~$1,100 annual (Hubdoc) — on top of the $32.92/mo micro-bucket. Confirm exact from Xero.</t>
  </si>
  <si>
    <t xml:space="preserve">  Living — subtotal</t>
  </si>
  <si>
    <t xml:space="preserve">  Discretionary</t>
  </si>
  <si>
    <t>Discretionary spending, monthly.</t>
  </si>
  <si>
    <t xml:space="preserve">  Other/Buffer</t>
  </si>
  <si>
    <t xml:space="preserve">  Storage</t>
  </si>
  <si>
    <t>$400/mo from w/c 23 Sep 2026 (Clent, 31 Jul 2026). Sep–Jun = 10 months.</t>
  </si>
  <si>
    <t>TOTAL PERSONAL EXPENSES</t>
  </si>
  <si>
    <t>Sum of Housing, Children, Health, Living, Subs, Discretionary.</t>
  </si>
  <si>
    <t>PERSONAL TAX</t>
  </si>
  <si>
    <t>NET PERSONAL CASHFLOW</t>
  </si>
  <si>
    <t>Negative of personal expenses + personal tax (funded by business net cashflow).</t>
  </si>
  <si>
    <t>HOUSE SALE — 10 Buncrana Terrace  (· Settles 28 Sep 2026)</t>
  </si>
  <si>
    <t xml:space="preserve">  Sale proceeds</t>
  </si>
  <si>
    <t>SIGNED contract 29/6/2026: price $1,950,000, purchaser M. Gyles. Deposit $100,000 accepted in lieu of 10% (held in trust; full proceeds modelled at completion ~27 Sep 2026 = contract + 90 days). Main-residence exemption → no CGT. 8% p.a. interest applies if completion delayed. | Buyer requested extended cooling-off (to ~17 Jul+). Watch settlement-date slip; 8% p.a. interest clause protects if buyer late post-exchange.</t>
  </si>
  <si>
    <t xml:space="preserve">  Mortgage payout</t>
  </si>
  <si>
    <t>NAB home loan LIVE 31 Jul 2026 −$1,455,827.58 (was −$1,457,705.02 @ 30 Jun). Conservative: balance keeps amortising to settlement. Offset sits in opening cash, not re-added. Confirm final payout with Border Conveyancing.</t>
  </si>
  <si>
    <t xml:space="preserve">  Agent commission</t>
  </si>
  <si>
    <t>Selling cost — $30,000 estimate from Scenarios tab; confirm against agency agreement.</t>
  </si>
  <si>
    <t xml:space="preserve">  Conveyancing</t>
  </si>
  <si>
    <t>Quoted $1,800+GST Border Conveyancing (email 9-Apr-26).</t>
  </si>
  <si>
    <t xml:space="preserve">  Selling extras</t>
  </si>
  <si>
    <t>Removalist: $1k est. Already paid: Garden 300 + cleaning 1,000 + general 500 + photography 1,000 + pool/spa inspection ~554 = ~3,354.</t>
  </si>
  <si>
    <t xml:space="preserve">  HOUSE SALE — NET</t>
  </si>
  <si>
    <t>Net ≈ +$456,941 at contracted $1.95M (payout/commission/conveyancing/extras still estimates).</t>
  </si>
  <si>
    <t>BRIDGE FINANCING — JIG (Div 7A, short term)</t>
  </si>
  <si>
    <t xml:space="preserve">  JIG loan drawn (Hub24 sell-down)</t>
  </si>
  <si>
    <t>$25,000 requested from Nick Walter 31 Jul 2026 to land on/around 15 Aug 2026 (a Saturday — expect Fri 14 or Mon 17 Aug). Hub24 JIG a/c 24338104 -&gt; Macquarie CMA (JIG) -&gt; NAB. Bridges the pre-settlement trough.</t>
  </si>
  <si>
    <t xml:space="preserve">  JIG loan repaid from settlement</t>
  </si>
  <si>
    <t>Repaid to JIG from settlement proceeds 28 Sep 2026 — same FY, well before lodgement day, so no deemed dividend. Tell TWB.</t>
  </si>
  <si>
    <t xml:space="preserve">  BRIDGE FINANCING — NET</t>
  </si>
  <si>
    <t>Net zero across FY27 — a liquidity bridge, not income. No effect on net worth (JIG asset converts to loan receivable).</t>
  </si>
  <si>
    <t>NET CASHFLOW (month)</t>
  </si>
  <si>
    <t>Net business + net personal + house sale net.</t>
  </si>
  <si>
    <t>CLOSING CASH (end of month)</t>
  </si>
  <si>
    <t>Running balance = opening + net cashflow. Green ≥ $50k / amber $10–50k / red &lt; $10k.</t>
  </si>
  <si>
    <t>CLENT JEWELL — Personal Situation Summary</t>
  </si>
  <si>
    <t>As at 31 July 2026 · AUD · v1.3 · NAB balances confirmed live 31 Jul (post payment run) · Hub24/Macquarie live 7 Jul</t>
  </si>
  <si>
    <t>TOPIC</t>
  </si>
  <si>
    <t>DETAIL</t>
  </si>
  <si>
    <t>STATUS</t>
  </si>
  <si>
    <t>Net worth today (7 Jul 2026)</t>
  </si>
  <si>
    <t>$1,226,209 — see 'Net Worth 7 Jul 2026' tab.</t>
  </si>
  <si>
    <t>Post-settlement forecast (1 Oct 2026)</t>
  </si>
  <si>
    <t>Liquid after settlement</t>
  </si>
  <si>
    <t>≈ $466k personal cash, fully unencumbered (home loan and offset cleared at settlement). Was ≈ $28k liquid at 31 Jul.</t>
  </si>
  <si>
    <t>Burn (base case)</t>
  </si>
  <si>
    <t>Personal ≈ $8.5k/mo Oct–Jun; business ≈ −$2.3k/mo net of confirmed income. Apr-27 spike ≈ $54k (personal tax $35k + accountant $8k + normal month). May-27 ≈ $24k (company tax $15k).</t>
  </si>
  <si>
    <t>Runway</t>
  </si>
  <si>
    <t>See 'Net Worth Forecast — 1 Oct 2026' Section C. On ≈ $445k at settlement and current burn, runway is measured in years, not months. The binding constraint is now the pre-settlement bridge, not the post-settlement runway.</t>
  </si>
  <si>
    <t>PERSONAL SNAPSHOT</t>
  </si>
  <si>
    <t>Individual</t>
  </si>
  <si>
    <t>Clent Jewell — sole director/owner of Jewell Group Pty Ltd &amp; JIG. Business run through Jewell Group Trust.</t>
  </si>
  <si>
    <t>Family</t>
  </si>
  <si>
    <t>Children Kyah Lee &amp; Sierra Jade Jewell (super beneficiaries 50/50). See Parenting note below.</t>
  </si>
  <si>
    <t>Home</t>
  </si>
  <si>
    <t>10 Buncrana Terrace, Banora Point — SOLD (contract exchanged 29 Jun 2026) @ $1,950,000 to Minka Christine Gyles. Settlement 28 Sep 2026. Deposit $100,000 held in trust — EARLY RELEASE CONFIRMED NOT AVAILABLE (Clent, 31 Jul 2026).</t>
  </si>
  <si>
    <t>Net worth (est.)</t>
  </si>
  <si>
    <t>See 'Net Worth 7 Jul 2026' tab. Dominated by home equity + Hub24 super $406,324.</t>
  </si>
  <si>
    <t>Parenting</t>
  </si>
  <si>
    <t>No current access (family law matter). BCSA financial obligations (50% school fees + 50% medical) continue regardless and remain budgeted.</t>
  </si>
  <si>
    <t>NAB BANKING</t>
  </si>
  <si>
    <t>Home Loan (…008867)</t>
  </si>
  <si>
    <t>−$1,455,827.58 LIVE @ 31 Jul 2026 (was −$1,457,705.02 @ 7 Jul). 6.04% from 15 May 2026; min repayment $8,669.04/mo.</t>
  </si>
  <si>
    <t>Loan Offset (…422998)</t>
  </si>
  <si>
    <t>$26,449.88 LIVE @ 31 Jul 2026 (was $52,922.84 @ 7 Jul) — offset drawn down ≈ $26.5k over July. Counted as personal liquid cash.</t>
  </si>
  <si>
    <t>Biz Credit Card (•4231)</t>
  </si>
  <si>
    <t>−$5,174.00 LIVE @ 31 Jul 2026 (was −$8,917.86 @ 7 Jul). Limit $10,000. NOT to be used as the bridge — Clent, 31 Jul 2026.</t>
  </si>
  <si>
    <t>Biz Trans (…611444)</t>
  </si>
  <si>
    <t>$4,103.51 LIVE @ 31 Jul 2026, after the 31 Jul run (7,992.60 − 3,889.09: Lizelle 869.59 + Rao 819.50 + Ronnie 2,000 + Nicole 200).</t>
  </si>
  <si>
    <t>Personal Trans (…699713)</t>
  </si>
  <si>
    <t>$1,968.95 LIVE @ 31 Jul 2026.</t>
  </si>
  <si>
    <t>Child Support (…652565)</t>
  </si>
  <si>
    <t>$28.92 LIVE @ 31 Jul 2026.</t>
  </si>
  <si>
    <t>Maxxim (…426985)</t>
  </si>
  <si>
    <t>$367.99 LIVE @ 31 Jul 2026 — tech subscriptions account (business).</t>
  </si>
  <si>
    <t>Float (…845515)</t>
  </si>
  <si>
    <t>$0.00 LIVE @ 31 Jul 2026. Also B3 Biz Petty Cash: $0.00 live vs $663 in Xero — still to reconcile.</t>
  </si>
  <si>
    <t>MACQUARIE BANKING</t>
  </si>
  <si>
    <t>Cash Mgmt Account (JIG)</t>
  </si>
  <si>
    <t>Cash Management Account (182-512 | 000974533598) — $2.73 @ 7 Jul 2026. JIG-owned. THIS IS THE LANDING ACCOUNT for the $25,000 Hub24 sell-down before onward transfer to NAB.</t>
  </si>
  <si>
    <t>CMA Accelerator (JIG)</t>
  </si>
  <si>
    <t>Cash Management Accelerator (182-500 | 000942365818) — $11.76 LIVE @ 7 Jul 2026. Account name: JEWELL INVESTMENT GROUP PTY LTD. Total Macquarie $14.49.</t>
  </si>
  <si>
    <t>HUB24 — SUPER &amp; INVESTMENTS</t>
  </si>
  <si>
    <t>Super — Clent (a/c 24067445, member 0EBUK5, joined 7/8/2020)</t>
  </si>
  <si>
    <t>Balance</t>
  </si>
  <si>
    <t>$406,323.88 @ 6 Jul 2026 — accumulation, fully preserved. (Since-inception report executed 7/7/2026; supersedes $406,963.27 @ 3 Jul.)</t>
  </si>
  <si>
    <t>Composition (6/7/2026)</t>
  </si>
  <si>
    <t>Managed Portfolios $186,473.54; Aust Listed Securities $169,485.03 (Sunbird Core SMA: ANZ, BHP, CBA, MQG, RIO, GMG); Managed Funds $37,339.38 (ARK Global Disruptive Innovation); Cash $13,025.93 (cleared $10,282.84 + pending settlement $2,743.09).</t>
  </si>
  <si>
    <t>Since inception (7/8/2020 → 6/7/2026)</t>
  </si>
  <si>
    <t>Deposits $342,079.14; withdrawals −$32,350.16; net deposits $309,728.98. Income $50,186.69 (dividends $44,410.96 + interest $5,775.73); expenses −$9,605.04; capital appreciation $56,013.25. Cumulative growth ≈ +$96,595 on net deposits (~31%).</t>
  </si>
  <si>
    <t>Tax components</t>
  </si>
  <si>
    <t>Tax-free $30,624.72; taxable (taxed) $375,699.16.</t>
  </si>
  <si>
    <t>Beneficiaries</t>
  </si>
  <si>
    <t>Binding non-lapsing (signed 2/11/2024): Kyah Lee Jewell 50%, Sierra Jade Jewell 50%. No insurance in super.</t>
  </si>
  <si>
    <t>Contribution</t>
  </si>
  <si>
    <t>FY2024 personal deductible contribution $119,675 to Hub24 Super (ABN 60 910 190 523), reducing taxable income $239,579 → $119,904.</t>
  </si>
  <si>
    <t>Adviser</t>
  </si>
  <si>
    <t>Nick Walter, Walter Wealth Advice.</t>
  </si>
  <si>
    <t>JIG Investment (a/c 24338104, opened 12/11/2025)</t>
  </si>
  <si>
    <t>$103,285.02 @ 6 Jul 2026. $25,000 sell-down requested 31 Jul 2026 (lands on/around 15 Aug) → ≈ $78k remaining. Net deposits $92,500.</t>
  </si>
  <si>
    <t>Holdings</t>
  </si>
  <si>
    <t>GARP $38,581.20 (38.9%); HNDQ $28,465.92 (28.7%); IJP $32,145.50 (32.4%); cash $4,092.40. No borrowings. Same adviser.</t>
  </si>
  <si>
    <t>CORPORATE STRUCTURE</t>
  </si>
  <si>
    <t>Text diagram</t>
  </si>
  <si>
    <t>Clent Jewell (sole director/owner)
  ├─ Jewell Group Pty Ltd (ACN 649 111 357, inc 30/03/2021; 100 ORD 100% Clent)
  │     └─ ATF → Jewell Group Trust (ABN 56 822 550 848) — THE trading entity (business consultant); GST reg 1 Jul 2021
  │              ◀── Div 7A loan $190,575.34 (7-yr complying, ATO benchmark, from 15 May 2025) ── JIG
  └─ Jewell Investment Group Pty Ltd / JIG (ACN 678 220 632, ABN 38 678 220 632, inc 17/06/2024)
        · shares held by 'Clenton Jewell ATF Jewell Investment Trust'; bucket/investment co taxed 25%
        · holds Hub24 JIG investment + Macquarie CMA Accelerator; lent Div 7A to the Trust</t>
  </si>
  <si>
    <t>Jewell Group Pty Ltd</t>
  </si>
  <si>
    <t>ACN 649 111 357; inc 30/03/2021; Clent sole director/secretary/public officer; 100 ORD shares 100% Clent. Corporate trustee of Jewell Group Trust. (ABN not sighted — flag.)</t>
  </si>
  <si>
    <t>Jewell Group Trust</t>
  </si>
  <si>
    <t>ABN 56 822 550 848; discretionary trust; trading entity. FY2024 business income $1,295,546; net income $489,929. Distributions FY2024: $235,400 → Clent; $254,529 → JIG.</t>
  </si>
  <si>
    <t>Jewell Investment Group (JIG)</t>
  </si>
  <si>
    <t>ACN 678 220 632; inc 17/06/2024; Clent sole director; shares held by 'Clenton Jewell ATF Jewell Investment Trust'. Bucket company taxed 25% (FY2024 tax $63,632.25). FY2024 assets $254,628 / liabilities $63,632. No franked dividends yet — profits recycled via Div 7A loan.</t>
  </si>
  <si>
    <t>Jewell Investment Trust</t>
  </si>
  <si>
    <t>Own TFN; trustee NOT conclusively confirmed in docs — TO VERIFY.</t>
  </si>
  <si>
    <t>Div 7A loan</t>
  </si>
  <si>
    <t>Div 7A ($190,575 JIG→Trust loan): to be repaid via a $190,575 transfer back to JIG after house settlement; accountant-agreed; managed at the accounting level — no FY27 cashflow line needed.</t>
  </si>
  <si>
    <t>Historical — Jewell &amp; Associates</t>
  </si>
  <si>
    <t>Jewell &amp; Associates Pty Ltd (ACN 143 761 880) + Jewell Family Trust — Clent resigned director &amp; sold 50% (50 ORD) to Matina Jewell 24/03/2021; 100% Matina since (ASIC Form 484 + resolution). EXCLUDED from net worth.</t>
  </si>
  <si>
    <t>KEY DATES &amp; OBLIGATIONS</t>
  </si>
  <si>
    <t>Accountant / ASIC (TWB)</t>
  </si>
  <si>
    <t>Activity statements quarterly; Q4 FY26 BAS due 28 Jul 2026. Accountant/ASIC (TWB): ~$9,600 FY27 per Clent (Aug $600 / Apr $8,000 / May $1,000). ASIC reviews: Jewell Group Apr, JIG Jun (~$620-660 ea incl agent fee). PAYG instalments placed on hold — not varied down (committed prior-year liability, Clent).</t>
  </si>
  <si>
    <t>Company tax</t>
  </si>
  <si>
    <t>~$15,000 payable May-27.</t>
  </si>
  <si>
    <t>Personal tax</t>
  </si>
  <si>
    <t>~$35,000 payable Apr-27.</t>
  </si>
  <si>
    <t>House settlement</t>
  </si>
  <si>
    <t>Settlement 28 Sep 2026 (contract 29 Jun + 90 days). Payout figure to be confirmed by Border Conveyancing. Deposit early release confirmed NOT available.</t>
  </si>
  <si>
    <t>CHILD SUPPORT — BCSA (certified 8 Apr 2024)</t>
  </si>
  <si>
    <t>Periodic support</t>
  </si>
  <si>
    <t>NONE — BCSA cl. 2.12/3.9 zeroes any Services Australia assessment by 100% while in force; neither party may seek an Assessment (cl. 3.10).</t>
  </si>
  <si>
    <t>School fees</t>
  </si>
  <si>
    <t>Clent pays 50% of each child's School Fees (cl. 3.3.1). Broad definition: tuition, levies, devices, textbooks, excursions/camps, school activities, formal-wear items, tutoring ≤1hr/wk. Cl. 3.4 entitles him to be INVOICED DIRECTLY FOR 50% by the school — currently billed 100% ($6,650.75 Term 3 due 20 Jul 2026) with 50% reimbursement instead — action open.</t>
  </si>
  <si>
    <t>Medical &amp; dental</t>
  </si>
  <si>
    <t>50% each, AFTER Medicare/private-health rebates (incl. orthodontics, psych, physio, pharmacy). 14-day reimbursement either direction (cl. 3.5/3.6).</t>
  </si>
  <si>
    <t>NOT shared</t>
  </si>
  <si>
    <t>Standard uniforms (each parent buys own set, cl. 1.1.14.4), holidays, travel, day-to-day clothing, private health premiums (cl. 3.7).</t>
  </si>
  <si>
    <t>Horizon</t>
  </si>
  <si>
    <t>Per child until 18 / end of Year 12: Sierra (b. 23 May 2012) → ~2030; Kyah (b. 12 Dec 2014) → ~2032. s.151B application contemplated to run to end Yr 12 (cl. 3.12).</t>
  </si>
  <si>
    <t>Registration</t>
  </si>
  <si>
    <t>To be registered with Services Australia (cl. 3.11). Reimbursement accounts “nominated in writing” — NAB S&amp;J Child Support acct (…652565) presumed but not named in BCSA.</t>
  </si>
  <si>
    <t>DATA QUALITY FLAGS</t>
  </si>
  <si>
    <t>Macquarie balances</t>
  </si>
  <si>
    <t>RESOLVED 7 Jul 2026 — live screenshot confirms $14.49 total; both accounts JIG-owned (CMA was previously assumed personal).</t>
  </si>
  <si>
    <t>RESOLVED</t>
  </si>
  <si>
    <t>NAB balances</t>
  </si>
  <si>
    <t>RESOLVED 7 Jul 2026 — all NAB balances confirmed live via internet banking screenshot (2:43 PM).</t>
  </si>
  <si>
    <t>Float account</t>
  </si>
  <si>
    <t>RESOLVED 7 Jul 2026 — Float confirmed $0.00 live.</t>
  </si>
  <si>
    <t>Biz cash mismatch</t>
  </si>
  <si>
    <t>Biz Trans live $4,103.51 @ 31 Jul; Biz CC live −$5,174.00; petty cash live $0.00 vs $663 in Xero. Xero reconciliation still outstanding — clean before the Q1 FY27 BAS (due 28 Oct 2026).</t>
  </si>
  <si>
    <t>TO VERIFY</t>
  </si>
  <si>
    <t>Childcare co-parent ledger</t>
  </si>
  <si>
    <t>Balance $8,956.34 (Dec 2024) — direction unclear; notes only, not in net worth.</t>
  </si>
  <si>
    <t>ABN / trustee gaps</t>
  </si>
  <si>
    <t>Jewell Group Pty Ltd ABN not sighted; Jewell Investment Trust trustee unverified.</t>
  </si>
  <si>
    <t>Club Marine boat insurance</t>
  </si>
  <si>
    <t>Declined Aug-25 — confirm no auto-renew.</t>
  </si>
  <si>
    <t>Origin bill</t>
  </si>
  <si>
    <t>$963 sighted vs $80/mo budget — verify.</t>
  </si>
  <si>
    <t>Linkt tolls</t>
  </si>
  <si>
    <t>Treatment — confirm bucket (business vs personal).</t>
  </si>
  <si>
    <t>TO VERIFY (found in Hubdoc/Xero — not yet budgeted)</t>
  </si>
  <si>
    <t>Google Workspace 'AI Expanded Access' add-on</t>
  </si>
  <si>
    <t>New Jun-26, cost unknown — confirm with Nicole.</t>
  </si>
  <si>
    <t>North Coast Pool Inspection (10 Buncrana)</t>
  </si>
  <si>
    <t>House-sale prep, likely inside sale costs — confirm not double-counted.</t>
  </si>
  <si>
    <t>Hubdoc forwarding loop (Jun–Jul 2026)</t>
  </si>
  <si>
    <t>Same ~10 items re-forwarded 100s of times — tell bookkeeper to fix the auto-forward rule; risk of duplicate bill entry in Xero.</t>
  </si>
  <si>
    <t>ASSUMPTIONS REGISTER</t>
  </si>
  <si>
    <t>House sale (contracted)</t>
  </si>
  <si>
    <t>SIGNED contract $1,950,000, exchanged 29 Jun 2026; completion ~27 Sep 2026; deposit $100k in lieu of 10%. Net proceeds ≈ $456,941 after payout $1,457,705 + commission $30,000 (est.) + conveyancing $2,000 + extras $3,354. Sale price is FACT; costs remain estimates.</t>
  </si>
  <si>
    <t>ASSUMPTION</t>
  </si>
  <si>
    <t>Home loan repayment</t>
  </si>
  <si>
    <t>$8,669.04/mo (NAB notice eff 21 Apr 2026). Bookkeeper $8,800 and garbled $8,973 ignored (adjudication #1).</t>
  </si>
  <si>
    <t>Rent post-sale</t>
  </si>
  <si>
    <t>$1,200/mo Thailand rent from Oct-26 per Clent (was $3,500/mo AU-rent, adjudication #3; alternative bookkeeper figure $1,500/mo). If back in AU part-year, revisit.</t>
  </si>
  <si>
    <t>Income</t>
  </si>
  <si>
    <t>WORST CASE from 31 Jul 2026: WalterWealth and Adam Hall zeroed for Aug AND Sep — nothing banked until invoiced and received. Oct–Jun retainers retained, so FY27 close is NOT a worst case beyond September. Pipeline $261,731 gross remains memo only.</t>
  </si>
  <si>
    <t>Opening cash</t>
  </si>
  <si>
    <t>Aug column re-anchored to LIVE NAB 31 Jul 2026 = $27,745.25 (personal 1,968.95 + biz trans 4,103.51 + offset 26,449.88 + Maxxim 367.99 + child support 28.92 − biz CC 5,174.00). Macquarie excluded (JIG-owned). July closing is forecast and differs slightly from this re-anchor.</t>
  </si>
  <si>
    <t>Prepared 7 Jul 2026 · Updated 31 Jul 2026 · Sources: NAB live 31 Jul 2026, Macquarie/Hub24 7 Jul 2026, Xero, Drive company/tax docs, bookkeeper FY27 draft · See BRIDGE FINANCING &amp; 31 JUL UPDATE block below.</t>
  </si>
  <si>
    <t>BRIDGE FINANCING &amp; 31 JUL UPDATE</t>
  </si>
  <si>
    <t>JIG bridge — $25,000</t>
  </si>
  <si>
    <t>Requested from Nick Walter 31 Jul 2026 to land on/around 15 Aug 2026 (a Saturday — expect Fri 14 or Mon 17 Aug). Hub24 JIG a/c 24338104 → Macquarie CMA (JIG) → NAB. Repaid from settlement 28 Sep 2026. Div 7A: same FY, well before lodgement day, so no deemed dividend — notify TWB so it is coded, not discovered.</t>
  </si>
  <si>
    <t>ACTIVE</t>
  </si>
  <si>
    <t>Pre-settlement trough</t>
  </si>
  <si>
    <t>≈ $14,611 in late Sep WITH the bridge; ≈ −$10,389 without it. Contractors ($3,550, paid month-end 30 Sep) fall AFTER settlement on 28 Sep, which is worth $3,550 to the trough.</t>
  </si>
  <si>
    <t>Relocation costs</t>
  </si>
  <si>
    <t>Removalists $2,000 one-off (Sep) and storage $400/mo from w/c 23 Sep through Jun-27 ($4,000). Added to the model 31 Jul 2026. Book removalists for settlement week and pay on/after 28 Sep if the mover allows.</t>
  </si>
  <si>
    <t>ADDED</t>
  </si>
  <si>
    <t>Workbook formula integrity</t>
  </si>
  <si>
    <t>FIXED 31 Jul 2026: TOTAL BUSINESS EXPENSES omitted Legal $350 + BAS $1,212 and double-counted $186/mo of subscriptions; ClearView double-counted $429/mo; Bookkeeping counted in Jul only; Subscriptions subtotal missed 5 lines; Living and Operating subtotals referenced empty rows 148–150, which is why deleting rows 140–171 previously broke the sheet.</t>
  </si>
  <si>
    <t>Buffer</t>
  </si>
  <si>
    <t>Other/Buffer raised to $1,000/mo (Clent). Contractor payment timing locked to month end.</t>
  </si>
  <si>
    <t>CONFIRMED</t>
  </si>
  <si>
    <t>CLENT JEWELL — Insights &amp; Recommendations</t>
  </si>
  <si>
    <t>Synthesis as at 31 Jul 2026 · Companion to 'Net Worth Forecast — 1 Oct 2026' · General information only — not financial, tax or legal advice; verify with your accountant/conveyancer before acting.</t>
  </si>
  <si>
    <t>PRIORITY</t>
  </si>
  <si>
    <t>TOPLINE</t>
  </si>
  <si>
    <t>The settlement changes the game</t>
  </si>
  <si>
    <t>Settlement on 28 Sep 2026 turns ≈ $28k accessible cash into ≈ $445k. Net worth ≈ $1.12M, ~41% liquid (was ~2%). Decision mode shifts from "bridge to settlement" to "deploy capital + control burn".</t>
  </si>
  <si>
    <t>Watch late September, not August</t>
  </si>
  <si>
    <t>The trough is NOT August — it is late September, immediately before settlement. Without a bridge, combined cash reaches ≈ −$10.4k. The $25,000 JIG draw (landing ~15 Aug) lifts the trough to ≈ +$14.6k. August closes at ≈ $32.5k with the bridge in hand.</t>
  </si>
  <si>
    <t>Burn is the controllable lever</t>
  </si>
  <si>
    <t>Business runs ≈ −$2.3k/mo net of confirmed income once Oct–Jun retainers land; personal ≈ $8.5k/mo. Pipeline conversion is worth far more than any remaining cost cut — the subscription base is already near the floor.</t>
  </si>
  <si>
    <t>Base AU ≈ 27 months. SEA lean ≈ 35 months. SEA + $5k/mo net new revenue ≈ 58 months. BTC landing flips cash-positive. Every path to a long runway runs through revenue, not just frugality.</t>
  </si>
  <si>
    <t>April 2027 is still the crunch</t>
  </si>
  <si>
    <t>Personal tax $35k + accountant $8k + a normal month ≈ $54k out in April, then ≈ $24k in May (company tax $15k). Pre-position from sale proceeds in October; consider a TWB payment plan.</t>
  </si>
  <si>
    <t>CASH &amp; RUNWAY</t>
  </si>
  <si>
    <t>Bridge — RESOLVED</t>
  </si>
  <si>
    <t>Deposit early release: CONFIRMED NOT AVAILABLE. Business credit card: ruled out by Clent (largely committed to work spend, $10k limit). Contractor timing: locked, month end. ADOPTED: $25,000 JIG Hub24 sell-down, requested 31 Jul 2026, landing ~15 Aug, repaid at settlement. A second tranche of similar size is available at ~3 business days notice if invoicing slips further.</t>
  </si>
  <si>
    <t>DONE</t>
  </si>
  <si>
    <t>Post-settlement allocation</t>
  </si>
  <si>
    <t>Don't park ≈ $466k in a transaction account. Suggested: 6-mo expenses (~$60k) in a high-interest saver; balance tiered (TDs/ETFs — decide entity and get advice). At ~5%, $350k earns ≈ $17.5k/yr, offsetting roughly a sixth of base burn.</t>
  </si>
  <si>
    <t>Trust equity goes negative</t>
  </si>
  <si>
    <t>SALE EXECUTION</t>
  </si>
  <si>
    <t>Completion mechanics</t>
  </si>
  <si>
    <t>Contract 29 Jun + 90 days ≈ 27 Sep 2026; 8% p.a. penalty interest if purchaser delays. Get payout figure + commission invoice confirmed by Border Conveyancing; both are still estimates in this model ($30k commission, $2k conveyancing, $3.4k extras).</t>
  </si>
  <si>
    <t>STRUCTURE &amp; TAX</t>
  </si>
  <si>
    <t>Stay an AU tax resident</t>
  </si>
  <si>
    <t>With kids, co-parent, trust and business in AU, you’ll almost certainly remain an AU tax resident — and you want to: preserves franking credits, main-residence exemption already used, avoids CGT event I1 deemed disposal and s98 trust complications (trustee taxed at 45% for non-resident beneficiaries). Get written confirmation from your accountant BEFORE departure. (General info, not tax advice.)</t>
  </si>
  <si>
    <t>Div 7A — two loans now</t>
  </si>
  <si>
    <t>(1) The existing $190,575 JIG→Trust loan settles to JIG post-sale, accountant-agreed. (2) NEW: the $25,000 bridge drawn Aug and repaid from settlement 28 Sep — same FY, well before lodgement day, so no deemed dividend arises. Tell TWB it happened and confirm which entity receives it, so it is coded rather than discovered at year end.</t>
  </si>
  <si>
    <t>JIG is the war chest, not a wallet</t>
  </si>
  <si>
    <t>≈ $294k in JIG, of which Hub24 ≈ $103k is sellable at ~2 days notice — that liquidity is what makes the bridge work. Drawing it personally still creates a Div 7A loan, so keep drawings short-dated and documented. Post-settlement, plan dividends/distributions with the accountant rather than ad-hoc draws.</t>
  </si>
  <si>
    <t>Xero hygiene</t>
  </si>
  <si>
    <t>3 + 8 unreconciled items; petty cash $663 in Xero vs $0 at bank; Biz Trans out by ~$3.2k. Clean before BAS (due 28 Jul).</t>
  </si>
  <si>
    <t>Bookkeeping hygiene</t>
  </si>
  <si>
    <t>Xero FY26 shows Advisory $4,500 + Bank Fees $2,712 that the FY27 draft omitted, and a Hubdoc forwarding loop risking duplicate entries. Reconcile the FY27 model against Xero actuals before relying on it.</t>
  </si>
  <si>
    <t>Super contribution</t>
  </si>
  <si>
    <t>Most tax-effective lever available; Clent deferring additional contributions until income/Secura opportunity lands, then revisit (he made $119k personal deductible FY24).</t>
  </si>
  <si>
    <t>WORK GOALS</t>
  </si>
  <si>
    <t>Revenue isn’t the problem, margin is</t>
  </si>
  <si>
    <t>FY26: $454k income but only $17k net (COGS 65%, contractor-heavy). FY27 plan must fix margin, not just volume.</t>
  </si>
  <si>
    <t>Pipeline is the runway multiplier</t>
  </si>
  <si>
    <t>$262k gross pipeline sits at $0 in the base. Converting even $5k/mo net doubles runway. Priorities: BTC funding status (the +$34k/mo swing), EWU win-back ($3,150/mo — cancelled on cash, not relationship), Meridiam + All Coast starts.</t>
  </si>
  <si>
    <t>AI tooling spend</t>
  </si>
  <si>
    <t>Now Anthropic $400 + $500 tokens, ChatGPT $30 + $250 tokens ≈ $14.2k/yr — Clent already capped tokens; 'Check' review of the 6 flagged subs (Google Workspace, Go High Level, Wildjar, WPMUDEV, Brave, Gamma) is the next saving. | SaaS sprawl: Hubdoc shows Slack, Supabase, OpenAI API, Webroot, Workspace AI add-on not previously budgeted (~$2k+/yr on top). Plus 6 subs Clent flagged 'Check'. A single subscription audit likely recovers $3–5k/yr.</t>
  </si>
  <si>
    <t>SEA works for clients</t>
  </si>
  <si>
    <t>UTC+7/8 is only 2–3h behind AEST — client calls unaffected.</t>
  </si>
  <si>
    <t>SE ASIA MOVE</t>
  </si>
  <si>
    <t>Visa: Thailand DTV is the fit</t>
  </si>
  <si>
    <t>5-year multi-entry, ~THB 500k (~A$21k) savings requirement, seasoned ~3 months. TIMING CHANGED 31 Jul 2026: the $25k bridge CANNOT double as seasoning — it is repaid at settlement. Season from settlement proceeds in October → apply from ~Jan 2027 (was Nov 2026). Malaysia DE Rantau is plan B; Bali highest friction.</t>
  </si>
  <si>
    <t>All-in cost</t>
  </si>
  <si>
    <t>Lean (Chiang Mai/Da Nang/HCMC) ≈ A$2.3k/mo; comfortable (Bangkok/KL/Canggu) ≈ A$4k/mo — INCLUDING expat health cover (~A$200–500/mo). | Rent now $1,200/mo per Clent (was $3,500 scenario input) — SEA lean scenario is effectively his base plan.</t>
  </si>
  <si>
    <t>Keep the AU spine</t>
  </si>
  <si>
    <t>Medicare stays (resident); check Medibank suspension option (avoids LHC loading vs cancelling); ClearView life stays; kids’ school fee flows unchanged; Wise multi-currency for daily spend, keep NAB/trust accounts for business.</t>
  </si>
  <si>
    <t>Trial before lease</t>
  </si>
  <si>
    <t>Land Oct, run 4–6 weeks in 2 hubs before any 12-month lease. Timing works: settlement 27 Sep → fly early Oct.</t>
  </si>
  <si>
    <t>Obligations travel with you</t>
  </si>
  <si>
    <t>BCSA school-fee (50%) and medical (50%) obligations run to ~2030 (Sierra) / ~2032 (Kyah) in ALL scenarios — they're already inside every runway number; SEA doesn't change them.</t>
  </si>
  <si>
    <t>ACTIONS — NEXT 90 DAYS</t>
  </si>
  <si>
    <t>August</t>
  </si>
  <si>
    <t>Bridge: confirm Nick Walter's sell-down date and cleared date into Macquarie, then move funds Macquarie → NAB. Confirm 15 Aug lands Fri 14 or Mon 17 Aug (15 Aug is a Saturday).</t>
  </si>
  <si>
    <t>P1</t>
  </si>
  <si>
    <t>Invoice WalterWealth and Adam Hall and get payment dates in writing. Every dollar received before 28 Sep reduces the second tranche. Chase the Lindisfarne 50% direct-invoicing switch (BCSA cl. 3.4) and confirm BCSA registration with Services Australia.</t>
  </si>
  <si>
    <t>September</t>
  </si>
  <si>
    <t>Book removalists for settlement week; pay on/after 28 Sep if the mover allows. Confirm storage start w/c 23 Sep. Settlement-day checklist with Border Conveyancing: final payout figure, commission invoice, adjustment for Tweed rates.</t>
  </si>
  <si>
    <t>Late September</t>
  </si>
  <si>
    <t>On settlement: repay the $25,000 to JIG immediately and tell TWB. Then allocate proceeds per plan (buffer vs deploy) and re-run runway with actuals.</t>
  </si>
  <si>
    <t>October</t>
  </si>
  <si>
    <t>Fly. Two-hub trial. Suspend/cancel AU-only services. Season ~A$21k for the DTV from proceeds; apply from ~Jan 2027.</t>
  </si>
  <si>
    <t>P2</t>
  </si>
  <si>
    <t>Ongoing</t>
  </si>
  <si>
    <t>Pipeline sprint: BTC funding decision date, EWU win-back, Meridiam/All Coast kick-offs. Enter July component actuals in 'Forecast vs Actual' from Xero — closing cash is in, the component rows are not.</t>
  </si>
  <si>
    <t>Prepared 7 Jul 2026 · Updated 31 Jul 2026 · Companion to Net Worth Forecast — 1 Oct 2026 · P1 = August (urgent), P2 = Sep/Oct, P3 = ongoing.</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</si>
</sst>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
    <numFmt numFmtId="165" formatCode="$#,##0;[Red]($#,##0)"/>
    <numFmt numFmtId="166" formatCode="&quot;$&quot;#,##0"/>
    <numFmt numFmtId="167" formatCode="dd-mmm-yy"/>
    <numFmt numFmtId="168" formatCode="0.0%"/>
    <numFmt numFmtId="169" formatCode="#,##0;-#,##0;;"/>
    <numFmt numFmtId="170" formatCode="d&quot;-&quot;mmm&quot;-&quot;yyyy"/>
    <numFmt numFmtId="171" formatCode="d mmm yyyy"/>
    <numFmt numFmtId="172" formatCode="0.0&quot; mo&quot;"/>
    <numFmt numFmtId="173" formatCode="$#,##0.00"/>
    <numFmt numFmtId="174" formatCode="mmm yyyy"/>
    <numFmt numFmtId="175" formatCode="mmmm yyyy"/>
  </numFmts>
  <fonts count="32">
    <font>
      <sz val="11.0"/>
      <color theme="1"/>
      <name val="Calibri"/>
      <scheme val="minor"/>
    </font>
    <font>
      <b/>
      <sz val="14.0"/>
      <color rgb="FFFFFFFF"/>
      <name val="Calibri"/>
    </font>
    <font/>
    <font>
      <sz val="11.0"/>
      <color theme="1"/>
      <name val="Calibri"/>
    </font>
    <font>
      <b/>
      <color rgb="FFFFFFFF"/>
      <name val="Calibri"/>
    </font>
    <font>
      <i/>
      <sz val="9.0"/>
      <color rgb="FF404040"/>
      <name val="Calibri"/>
    </font>
    <font>
      <b/>
      <color theme="1"/>
      <name val="Calibri"/>
    </font>
    <font>
      <b/>
      <sz val="12.0"/>
      <color rgb="FF006100"/>
      <name val="Calibri"/>
    </font>
    <font>
      <b/>
      <sz val="14.0"/>
      <color rgb="FF1F3864"/>
      <name val="Calibri"/>
    </font>
    <font>
      <color theme="1"/>
      <name val="Calibri"/>
    </font>
    <font>
      <i/>
      <color rgb="FF0000FF"/>
      <name val="EB Garamond"/>
    </font>
    <font>
      <b/>
      <sz val="16.0"/>
      <color rgb="FFFFFFFF"/>
      <name val="Calibri"/>
    </font>
    <font>
      <u/>
      <sz val="11.0"/>
      <color rgb="FF0000FF"/>
      <name val="Calibri"/>
    </font>
    <font>
      <color rgb="FF9C6500"/>
      <name val="Calibri"/>
    </font>
    <font>
      <i/>
      <color rgb="FF595959"/>
      <name val="Calibri"/>
    </font>
    <font>
      <u/>
      <sz val="11.0"/>
      <color rgb="FF0000FF"/>
      <name val="Calibri"/>
    </font>
    <font>
      <strike/>
      <color rgb="FF595959"/>
      <name val="Calibri"/>
    </font>
    <font>
      <b/>
      <color rgb="FF006100"/>
      <name val="Calibri"/>
    </font>
    <font>
      <b/>
      <i/>
      <color rgb="FF1F3864"/>
      <name val="Calibri"/>
    </font>
    <font>
      <b/>
      <sz val="13.0"/>
      <color theme="1"/>
      <name val="Calibri"/>
    </font>
    <font>
      <i/>
      <color rgb="FFFFFFFF"/>
      <name val="Calibri"/>
    </font>
    <font>
      <color theme="1"/>
      <name val="Calibri"/>
      <scheme val="minor"/>
    </font>
    <font>
      <i/>
      <sz val="9.0"/>
      <color rgb="FF0000FF"/>
      <name val="Calibri"/>
    </font>
    <font>
      <sz val="11.0"/>
      <color rgb="FFFF0000"/>
      <name val="Calibri"/>
    </font>
    <font>
      <u/>
      <sz val="11.0"/>
      <color theme="1"/>
      <name val="Calibri"/>
    </font>
    <font>
      <b/>
      <sz val="11.0"/>
      <color rgb="FFFFFFFF"/>
      <name val="Calibri"/>
    </font>
    <font>
      <b/>
      <sz val="11.0"/>
      <color theme="1"/>
      <name val="Calibri"/>
    </font>
    <font>
      <i/>
      <sz val="11.0"/>
      <color theme="1"/>
      <name val="Calibri"/>
    </font>
    <font>
      <b/>
      <i/>
      <color rgb="FF595959"/>
      <name val="Calibri"/>
    </font>
    <font>
      <b/>
      <i/>
      <sz val="9.0"/>
      <color rgb="FF404040"/>
      <name val="Calibri"/>
    </font>
    <font>
      <b/>
      <color rgb="FF9C0006"/>
      <name val="Calibri"/>
    </font>
    <font>
      <b/>
      <color rgb="FF9C6500"/>
      <name val="Calibri"/>
    </font>
  </fonts>
  <fills count="14">
    <fill>
      <patternFill patternType="none"/>
    </fill>
    <fill>
      <patternFill patternType="lightGray"/>
    </fill>
    <fill>
      <patternFill patternType="solid">
        <fgColor rgb="FF1F3864"/>
        <bgColor rgb="FF1F3864"/>
      </patternFill>
    </fill>
    <fill>
      <patternFill patternType="solid">
        <fgColor rgb="FFC6EFCE"/>
        <bgColor rgb="FFC6EFCE"/>
      </patternFill>
    </fill>
    <fill>
      <patternFill patternType="solid">
        <fgColor rgb="FFD9D9D9"/>
        <bgColor rgb="FFD9D9D9"/>
      </patternFill>
    </fill>
    <fill>
      <patternFill patternType="solid">
        <fgColor rgb="FFF2F2F2"/>
        <bgColor rgb="FFF2F2F2"/>
      </patternFill>
    </fill>
    <fill>
      <patternFill patternType="solid">
        <fgColor rgb="FFF7F7F7"/>
        <bgColor rgb="FFF7F7F7"/>
      </patternFill>
    </fill>
    <fill>
      <patternFill patternType="solid">
        <fgColor rgb="FFF3F3F3"/>
        <bgColor rgb="FFF3F3F3"/>
      </patternFill>
    </fill>
    <fill>
      <patternFill patternType="solid">
        <fgColor rgb="FFE2EFDA"/>
        <bgColor rgb="FFE2EFDA"/>
      </patternFill>
    </fill>
    <fill>
      <patternFill patternType="solid">
        <fgColor rgb="FFFFEB9C"/>
        <bgColor rgb="FFFFEB9C"/>
      </patternFill>
    </fill>
    <fill>
      <patternFill patternType="solid">
        <fgColor rgb="FFFFF2A8"/>
        <bgColor rgb="FFFFF2A8"/>
      </patternFill>
    </fill>
    <fill>
      <patternFill patternType="solid">
        <fgColor rgb="FFBFBFBF"/>
        <bgColor rgb="FFBFBFBF"/>
      </patternFill>
    </fill>
    <fill>
      <patternFill patternType="solid">
        <fgColor rgb="FFFFE599"/>
        <bgColor rgb="FFFFE599"/>
      </patternFill>
    </fill>
    <fill>
      <patternFill patternType="solid">
        <fgColor rgb="FFFFC7CE"/>
        <bgColor rgb="FFFFC7CE"/>
      </patternFill>
    </fill>
  </fills>
  <borders count="17">
    <border/>
    <border>
      <left/>
      <top/>
      <bottom/>
    </border>
    <border>
      <top/>
      <bottom/>
    </border>
    <border>
      <right/>
      <top/>
      <bottom/>
    </border>
    <border>
      <left/>
      <right/>
      <top/>
      <bottom/>
    </border>
    <border>
      <left style="thin">
        <color rgb="FFBFBFBF"/>
      </left>
      <right style="thin">
        <color rgb="FFBFBFBF"/>
      </right>
      <top style="thin">
        <color rgb="FFBFBFBF"/>
      </top>
      <bottom style="thin">
        <color rgb="FFBFBFBF"/>
      </bottom>
    </border>
    <border>
      <top style="medium">
        <color rgb="FF1F3864"/>
      </top>
    </border>
    <border>
      <left style="thin">
        <color rgb="FFD0D0D0"/>
      </left>
      <right style="thin">
        <color rgb="FFD0D0D0"/>
      </right>
      <top style="thin">
        <color rgb="FFD0D0D0"/>
      </top>
      <bottom style="thin">
        <color rgb="FFD0D0D0"/>
      </bottom>
    </border>
    <border>
      <left/>
      <top/>
    </border>
    <border>
      <top/>
    </border>
    <border>
      <right/>
      <top/>
    </border>
    <border>
      <left/>
      <bottom/>
    </border>
    <border>
      <bottom/>
    </border>
    <border>
      <right/>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n">
        <color rgb="FFBFBFBF"/>
      </left>
      <right style="thin">
        <color rgb="FFBFBFBF"/>
      </right>
      <bottom style="thin">
        <color rgb="FFBFBFBF"/>
      </bottom>
    </border>
  </borders>
  <cellStyleXfs count="1">
    <xf borderId="0" fillId="0" fontId="0" numFmtId="0" applyAlignment="1" applyFont="1"/>
  </cellStyleXfs>
  <cellXfs count="212">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Font="1"/>
    <xf borderId="1" fillId="2" fontId="4" numFmtId="0" xfId="0" applyAlignment="1" applyBorder="1" applyFill="1" applyFont="1">
      <alignment horizontal="left" vertical="center"/>
    </xf>
    <xf borderId="0" fillId="0" fontId="5" numFmtId="0" xfId="0" applyFont="1"/>
    <xf borderId="0" fillId="0" fontId="5" numFmtId="0" xfId="0" applyAlignment="1" applyFont="1">
      <alignment readingOrder="0"/>
    </xf>
    <xf borderId="0" fillId="0" fontId="6" numFmtId="0" xfId="0" applyAlignment="1" applyFont="1">
      <alignment shrinkToFit="0" vertical="center" wrapText="1"/>
    </xf>
    <xf borderId="0" fillId="0" fontId="6" numFmtId="0" xfId="0" applyFont="1"/>
    <xf borderId="4" fillId="3" fontId="7" numFmtId="164" xfId="0" applyAlignment="1" applyBorder="1" applyFill="1" applyFont="1" applyNumberFormat="1">
      <alignment horizontal="center" shrinkToFit="0" vertical="center" wrapText="1"/>
    </xf>
    <xf borderId="5" fillId="2" fontId="4" numFmtId="0" xfId="0" applyBorder="1" applyFill="1" applyFont="1"/>
    <xf borderId="0" fillId="0" fontId="8" numFmtId="43" xfId="0" applyFont="1" applyNumberFormat="1"/>
    <xf borderId="5" fillId="2" fontId="4" numFmtId="17" xfId="0" applyAlignment="1" applyBorder="1" applyFill="1" applyFont="1" applyNumberFormat="1">
      <alignment horizontal="center" vertical="center"/>
    </xf>
    <xf borderId="4" fillId="2" fontId="4" numFmtId="0" xfId="0" applyBorder="1" applyFill="1" applyFont="1"/>
    <xf borderId="4" fillId="2" fontId="3" numFmtId="0" xfId="0" applyBorder="1" applyFill="1" applyFont="1"/>
    <xf borderId="5" fillId="2" fontId="4" numFmtId="0" xfId="0" applyAlignment="1" applyBorder="1" applyFill="1" applyFont="1">
      <alignment horizontal="center" vertical="center"/>
    </xf>
    <xf borderId="0" fillId="0" fontId="6" numFmtId="43" xfId="0" applyFont="1" applyNumberFormat="1"/>
    <xf borderId="5" fillId="2" fontId="4" numFmtId="0" xfId="0" applyAlignment="1" applyBorder="1" applyFill="1" applyFont="1">
      <alignment horizontal="left" vertical="center"/>
    </xf>
    <xf borderId="4" fillId="4" fontId="6" numFmtId="0" xfId="0" applyBorder="1" applyFill="1" applyFont="1"/>
    <xf borderId="4" fillId="2" fontId="4" numFmtId="0" xfId="0" applyAlignment="1" applyBorder="1" applyFill="1" applyFont="1">
      <alignment horizontal="center" shrinkToFit="0" wrapText="1"/>
    </xf>
    <xf borderId="0" fillId="0" fontId="5" numFmtId="0" xfId="0" applyAlignment="1" applyFont="1">
      <alignment shrinkToFit="0" vertical="top" wrapText="1"/>
    </xf>
    <xf borderId="5" fillId="2" fontId="3" numFmtId="0" xfId="0" applyBorder="1" applyFill="1" applyFont="1"/>
    <xf borderId="0" fillId="0" fontId="9" numFmtId="0" xfId="0" applyFont="1"/>
    <xf borderId="0" fillId="0" fontId="9" numFmtId="165" xfId="0" applyFont="1" applyNumberFormat="1"/>
    <xf borderId="5" fillId="5" fontId="6" numFmtId="0" xfId="0" applyBorder="1" applyFill="1" applyFont="1"/>
    <xf borderId="5" fillId="5" fontId="3" numFmtId="0" xfId="0" applyBorder="1" applyFill="1" applyFont="1"/>
    <xf borderId="5" fillId="6" fontId="3" numFmtId="0" xfId="0" applyBorder="1" applyFill="1" applyFont="1"/>
    <xf borderId="5" fillId="6" fontId="3" numFmtId="165" xfId="0" applyBorder="1" applyFill="1" applyFont="1" applyNumberFormat="1"/>
    <xf borderId="5" fillId="6" fontId="3" numFmtId="165" xfId="0" applyAlignment="1" applyBorder="1" applyFill="1" applyFont="1" applyNumberFormat="1">
      <alignment readingOrder="0"/>
    </xf>
    <xf borderId="5" fillId="0" fontId="3" numFmtId="0" xfId="0" applyBorder="1" applyFont="1"/>
    <xf borderId="5" fillId="6" fontId="3" numFmtId="166" xfId="0" applyAlignment="1" applyBorder="1" applyFill="1" applyFont="1" applyNumberFormat="1">
      <alignment readingOrder="0"/>
    </xf>
    <xf borderId="5" fillId="0" fontId="3" numFmtId="165" xfId="0" applyBorder="1" applyFont="1" applyNumberFormat="1"/>
    <xf borderId="5" fillId="0" fontId="3" numFmtId="167" xfId="0" applyAlignment="1" applyBorder="1" applyFont="1" applyNumberFormat="1">
      <alignment horizontal="center" vertical="center"/>
    </xf>
    <xf borderId="5" fillId="0" fontId="3" numFmtId="0" xfId="0" applyAlignment="1" applyBorder="1" applyFont="1">
      <alignment horizontal="center" vertical="center"/>
    </xf>
    <xf borderId="5" fillId="0" fontId="5" numFmtId="0" xfId="0" applyAlignment="1" applyBorder="1" applyFont="1">
      <alignment shrinkToFit="0" vertical="center" wrapText="1"/>
    </xf>
    <xf borderId="0" fillId="0" fontId="3" numFmtId="168" xfId="0" applyFont="1" applyNumberFormat="1"/>
    <xf borderId="0" fillId="0" fontId="10" numFmtId="0" xfId="0" applyFont="1"/>
    <xf borderId="4" fillId="2" fontId="4" numFmtId="0" xfId="0" applyAlignment="1" applyBorder="1" applyFill="1" applyFont="1">
      <alignment horizontal="left" shrinkToFit="0" vertical="center" wrapText="1"/>
    </xf>
    <xf borderId="4" fillId="2" fontId="4" numFmtId="0" xfId="0" applyAlignment="1" applyBorder="1" applyFill="1" applyFont="1">
      <alignment horizontal="center" shrinkToFit="0" vertical="center" wrapText="1"/>
    </xf>
    <xf borderId="6" fillId="0" fontId="3" numFmtId="0" xfId="0" applyBorder="1" applyFont="1"/>
    <xf borderId="1" fillId="2" fontId="4" numFmtId="0" xfId="0" applyBorder="1" applyFill="1" applyFont="1"/>
    <xf borderId="7" fillId="0" fontId="3" numFmtId="167" xfId="0" applyBorder="1" applyFont="1" applyNumberFormat="1"/>
    <xf borderId="7" fillId="0" fontId="3" numFmtId="0" xfId="0" applyBorder="1" applyFont="1"/>
    <xf borderId="4" fillId="2" fontId="11" numFmtId="0" xfId="0" applyBorder="1" applyFill="1" applyFont="1"/>
    <xf borderId="5" fillId="0" fontId="9" numFmtId="0" xfId="0" applyBorder="1" applyFont="1"/>
    <xf borderId="5" fillId="0" fontId="9" numFmtId="169" xfId="0" applyBorder="1" applyFont="1" applyNumberFormat="1"/>
    <xf borderId="7" fillId="7" fontId="3" numFmtId="0" xfId="0" applyBorder="1" applyFill="1" applyFont="1"/>
    <xf borderId="5" fillId="0" fontId="9" numFmtId="167" xfId="0" applyAlignment="1" applyBorder="1" applyFont="1" applyNumberFormat="1">
      <alignment horizontal="center" vertical="center"/>
    </xf>
    <xf borderId="4" fillId="2" fontId="11" numFmtId="165" xfId="0" applyBorder="1" applyFill="1" applyFont="1" applyNumberFormat="1"/>
    <xf borderId="5" fillId="0" fontId="9" numFmtId="0" xfId="0" applyAlignment="1" applyBorder="1" applyFont="1">
      <alignment horizontal="center" vertical="center"/>
    </xf>
    <xf borderId="4" fillId="2" fontId="5" numFmtId="0" xfId="0" applyAlignment="1" applyBorder="1" applyFill="1" applyFont="1">
      <alignment shrinkToFit="0" vertical="top" wrapText="1"/>
    </xf>
    <xf borderId="7" fillId="0" fontId="3" numFmtId="43" xfId="0" applyBorder="1" applyFont="1" applyNumberFormat="1"/>
    <xf borderId="5" fillId="0" fontId="9" numFmtId="0" xfId="0" applyAlignment="1" applyBorder="1" applyFont="1">
      <alignment shrinkToFit="0" vertical="center" wrapText="1"/>
    </xf>
    <xf borderId="0" fillId="0" fontId="9" numFmtId="168" xfId="0" applyFont="1" applyNumberFormat="1"/>
    <xf borderId="5" fillId="5" fontId="6" numFmtId="165" xfId="0" applyBorder="1" applyFill="1" applyFont="1" applyNumberFormat="1"/>
    <xf borderId="5" fillId="5" fontId="3" numFmtId="167" xfId="0" applyAlignment="1" applyBorder="1" applyFill="1" applyFont="1" applyNumberFormat="1">
      <alignment horizontal="center" vertical="center"/>
    </xf>
    <xf borderId="7" fillId="7" fontId="3" numFmtId="43" xfId="0" applyBorder="1" applyFill="1" applyFont="1" applyNumberFormat="1"/>
    <xf borderId="5" fillId="5" fontId="3" numFmtId="0" xfId="0" applyAlignment="1" applyBorder="1" applyFill="1" applyFont="1">
      <alignment horizontal="center" vertical="center"/>
    </xf>
    <xf borderId="5" fillId="5" fontId="5" numFmtId="0" xfId="0" applyAlignment="1" applyBorder="1" applyFill="1" applyFont="1">
      <alignment shrinkToFit="0" vertical="center" wrapText="1"/>
    </xf>
    <xf borderId="4" fillId="4" fontId="3" numFmtId="0" xfId="0" applyBorder="1" applyFill="1" applyFont="1"/>
    <xf borderId="4" fillId="5" fontId="6" numFmtId="168" xfId="0" applyBorder="1" applyFill="1" applyFont="1" applyNumberFormat="1"/>
    <xf borderId="5" fillId="8" fontId="3" numFmtId="165" xfId="0" applyBorder="1" applyFill="1" applyFont="1" applyNumberFormat="1"/>
    <xf borderId="7" fillId="0" fontId="12" numFmtId="0" xfId="0" applyAlignment="1" applyBorder="1" applyFont="1">
      <alignment horizontal="center"/>
    </xf>
    <xf borderId="4" fillId="8" fontId="3" numFmtId="168" xfId="0" applyBorder="1" applyFill="1" applyFont="1" applyNumberFormat="1"/>
    <xf borderId="7" fillId="0" fontId="5" numFmtId="0" xfId="0" applyAlignment="1" applyBorder="1" applyFont="1">
      <alignment shrinkToFit="0" vertical="top" wrapText="1"/>
    </xf>
    <xf borderId="0" fillId="0" fontId="3" numFmtId="17" xfId="0" applyFont="1" applyNumberFormat="1"/>
    <xf borderId="7" fillId="0" fontId="3" numFmtId="17" xfId="0" applyBorder="1" applyFont="1" applyNumberFormat="1"/>
    <xf borderId="4" fillId="9" fontId="13" numFmtId="0" xfId="0" applyBorder="1" applyFill="1" applyFont="1"/>
    <xf borderId="4" fillId="9" fontId="13" numFmtId="165" xfId="0" applyBorder="1" applyFill="1" applyFont="1" applyNumberFormat="1"/>
    <xf borderId="4" fillId="9" fontId="5" numFmtId="0" xfId="0" applyAlignment="1" applyBorder="1" applyFill="1" applyFont="1">
      <alignment shrinkToFit="0" vertical="top" wrapText="1"/>
    </xf>
    <xf borderId="7" fillId="0" fontId="6" numFmtId="43" xfId="0" applyBorder="1" applyFont="1" applyNumberFormat="1"/>
    <xf borderId="7" fillId="9" fontId="3" numFmtId="167" xfId="0" applyBorder="1" applyFill="1" applyFont="1" applyNumberFormat="1"/>
    <xf borderId="4" fillId="4" fontId="6" numFmtId="165" xfId="0" applyBorder="1" applyFill="1" applyFont="1" applyNumberFormat="1"/>
    <xf borderId="7" fillId="9" fontId="3" numFmtId="0" xfId="0" applyBorder="1" applyFill="1" applyFont="1"/>
    <xf borderId="5" fillId="5" fontId="14" numFmtId="0" xfId="0" applyBorder="1" applyFill="1" applyFont="1"/>
    <xf borderId="4" fillId="4" fontId="5" numFmtId="0" xfId="0" applyAlignment="1" applyBorder="1" applyFill="1" applyFont="1">
      <alignment shrinkToFit="0" vertical="top" wrapText="1"/>
    </xf>
    <xf borderId="7" fillId="9" fontId="3" numFmtId="43" xfId="0" applyBorder="1" applyFill="1" applyFont="1" applyNumberFormat="1"/>
    <xf borderId="7" fillId="9" fontId="3" numFmtId="0" xfId="0" applyAlignment="1" applyBorder="1" applyFill="1" applyFont="1">
      <alignment horizontal="center"/>
    </xf>
    <xf borderId="7" fillId="9" fontId="15" numFmtId="0" xfId="0" applyAlignment="1" applyBorder="1" applyFill="1" applyFont="1">
      <alignment horizontal="center"/>
    </xf>
    <xf borderId="7" fillId="9" fontId="5" numFmtId="0" xfId="0" applyAlignment="1" applyBorder="1" applyFill="1" applyFont="1">
      <alignment shrinkToFit="0" vertical="top" wrapText="1"/>
    </xf>
    <xf borderId="5" fillId="10" fontId="3" numFmtId="165" xfId="0" applyBorder="1" applyFill="1" applyFont="1" applyNumberFormat="1"/>
    <xf borderId="0" fillId="0" fontId="16" numFmtId="0" xfId="0" applyFont="1"/>
    <xf borderId="0" fillId="0" fontId="17" numFmtId="165" xfId="0" applyFont="1" applyNumberFormat="1"/>
    <xf borderId="5" fillId="0" fontId="5" numFmtId="0" xfId="0" applyAlignment="1" applyBorder="1" applyFont="1">
      <alignment shrinkToFit="0" vertical="top" wrapText="1"/>
    </xf>
    <xf borderId="4" fillId="10" fontId="3" numFmtId="168" xfId="0" applyBorder="1" applyFill="1" applyFont="1" applyNumberFormat="1"/>
    <xf borderId="5" fillId="4" fontId="6" numFmtId="0" xfId="0" applyBorder="1" applyFill="1" applyFont="1"/>
    <xf borderId="5" fillId="4" fontId="6" numFmtId="165" xfId="0" applyBorder="1" applyFill="1" applyFont="1" applyNumberFormat="1"/>
    <xf borderId="5" fillId="4" fontId="6" numFmtId="167" xfId="0" applyAlignment="1" applyBorder="1" applyFill="1" applyFont="1" applyNumberFormat="1">
      <alignment horizontal="center" vertical="center"/>
    </xf>
    <xf borderId="7" fillId="0" fontId="3" numFmtId="0" xfId="0" applyAlignment="1" applyBorder="1" applyFont="1">
      <alignment horizontal="center"/>
    </xf>
    <xf borderId="5" fillId="4" fontId="6" numFmtId="0" xfId="0" applyAlignment="1" applyBorder="1" applyFill="1" applyFont="1">
      <alignment horizontal="center" vertical="center"/>
    </xf>
    <xf borderId="5" fillId="4" fontId="5" numFmtId="0" xfId="0" applyAlignment="1" applyBorder="1" applyFill="1" applyFont="1">
      <alignment shrinkToFit="0" vertical="center" wrapText="1"/>
    </xf>
    <xf borderId="0" fillId="0" fontId="9" numFmtId="168" xfId="0" applyAlignment="1" applyFont="1" applyNumberFormat="1">
      <alignment shrinkToFit="0" vertical="top" wrapText="1"/>
    </xf>
    <xf borderId="0" fillId="0" fontId="14" numFmtId="168" xfId="0" applyAlignment="1" applyFont="1" applyNumberFormat="1">
      <alignment shrinkToFit="0" vertical="top" wrapText="1"/>
    </xf>
    <xf borderId="5" fillId="0" fontId="14" numFmtId="0" xfId="0" applyBorder="1" applyFont="1"/>
    <xf borderId="5" fillId="0" fontId="14" numFmtId="165" xfId="0" applyBorder="1" applyFont="1" applyNumberFormat="1"/>
    <xf borderId="5" fillId="0" fontId="14" numFmtId="167" xfId="0" applyAlignment="1" applyBorder="1" applyFont="1" applyNumberFormat="1">
      <alignment horizontal="center" vertical="center"/>
    </xf>
    <xf borderId="8" fillId="5" fontId="18" numFmtId="0" xfId="0" applyAlignment="1" applyBorder="1" applyFill="1" applyFont="1">
      <alignment shrinkToFit="0" vertical="center" wrapText="1"/>
    </xf>
    <xf borderId="9" fillId="0" fontId="2" numFmtId="0" xfId="0" applyBorder="1" applyFont="1"/>
    <xf borderId="5" fillId="0" fontId="14" numFmtId="0" xfId="0" applyAlignment="1" applyBorder="1" applyFont="1">
      <alignment horizontal="center" vertical="center"/>
    </xf>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5" fillId="2" fontId="1" numFmtId="0" xfId="0" applyBorder="1" applyFill="1" applyFont="1"/>
    <xf borderId="4" fillId="5" fontId="9" numFmtId="0" xfId="0" applyBorder="1" applyFill="1" applyFont="1"/>
    <xf borderId="5" fillId="2" fontId="1" numFmtId="165" xfId="0" applyBorder="1" applyFill="1" applyFont="1" applyNumberFormat="1"/>
    <xf borderId="5" fillId="2" fontId="19" numFmtId="167" xfId="0" applyAlignment="1" applyBorder="1" applyFill="1" applyFont="1" applyNumberFormat="1">
      <alignment horizontal="center" vertical="center"/>
    </xf>
    <xf borderId="7" fillId="0" fontId="3" numFmtId="170" xfId="0" applyBorder="1" applyFont="1" applyNumberFormat="1"/>
    <xf borderId="5" fillId="2" fontId="19" numFmtId="0" xfId="0" applyAlignment="1" applyBorder="1" applyFill="1" applyFont="1">
      <alignment horizontal="center" vertical="center"/>
    </xf>
    <xf borderId="4" fillId="5" fontId="9" numFmtId="165" xfId="0" applyBorder="1" applyFill="1" applyFont="1" applyNumberFormat="1"/>
    <xf borderId="5" fillId="2" fontId="20" numFmtId="0" xfId="0" applyAlignment="1" applyBorder="1" applyFill="1" applyFont="1">
      <alignment shrinkToFit="0" vertical="center" wrapText="1"/>
    </xf>
    <xf borderId="4" fillId="5" fontId="5" numFmtId="0" xfId="0" applyAlignment="1" applyBorder="1" applyFill="1" applyFont="1">
      <alignment shrinkToFit="0" vertical="top" wrapText="1"/>
    </xf>
    <xf borderId="5" fillId="6" fontId="6" numFmtId="165" xfId="0" applyBorder="1" applyFill="1" applyFont="1" applyNumberFormat="1"/>
    <xf borderId="5" fillId="6" fontId="5" numFmtId="0" xfId="0" applyAlignment="1" applyBorder="1" applyFill="1" applyFont="1">
      <alignment shrinkToFit="0" vertical="top" wrapText="1"/>
    </xf>
    <xf borderId="0" fillId="0" fontId="21" numFmtId="0" xfId="0" applyFont="1"/>
    <xf borderId="5" fillId="0" fontId="6" numFmtId="165" xfId="0" applyBorder="1" applyFont="1" applyNumberFormat="1"/>
    <xf borderId="4" fillId="4" fontId="6" numFmtId="0" xfId="0" applyAlignment="1" applyBorder="1" applyFill="1" applyFont="1">
      <alignment horizontal="center" shrinkToFit="0" vertical="center" wrapText="1"/>
    </xf>
    <xf borderId="7" fillId="0" fontId="22" numFmtId="0" xfId="0" applyAlignment="1" applyBorder="1" applyFont="1">
      <alignment shrinkToFit="0" vertical="top" wrapText="1"/>
    </xf>
    <xf borderId="5" fillId="0" fontId="6" numFmtId="168" xfId="0" applyBorder="1" applyFont="1" applyNumberFormat="1"/>
    <xf borderId="4" fillId="10" fontId="3" numFmtId="165" xfId="0" applyBorder="1" applyFill="1" applyFont="1" applyNumberFormat="1"/>
    <xf borderId="0" fillId="0" fontId="9" numFmtId="171" xfId="0" applyFont="1" applyNumberFormat="1"/>
    <xf borderId="0" fillId="0" fontId="6" numFmtId="165" xfId="0" applyFont="1" applyNumberFormat="1"/>
    <xf borderId="5" fillId="6" fontId="23" numFmtId="166" xfId="0" applyAlignment="1" applyBorder="1" applyFill="1" applyFont="1" applyNumberFormat="1">
      <alignment readingOrder="0"/>
    </xf>
    <xf borderId="0" fillId="0" fontId="3" numFmtId="172" xfId="0" applyAlignment="1" applyFont="1" applyNumberFormat="1">
      <alignment horizontal="center"/>
    </xf>
    <xf borderId="0" fillId="0" fontId="3" numFmtId="167" xfId="0" applyAlignment="1" applyFont="1" applyNumberFormat="1">
      <alignment horizontal="center"/>
    </xf>
    <xf borderId="7" fillId="0" fontId="24" numFmtId="43" xfId="0" applyBorder="1" applyFont="1" applyNumberFormat="1"/>
    <xf borderId="0" fillId="0" fontId="3" numFmtId="171" xfId="0" applyAlignment="1" applyFont="1" applyNumberFormat="1">
      <alignment readingOrder="0"/>
    </xf>
    <xf borderId="0" fillId="0" fontId="3" numFmtId="165" xfId="0" applyFont="1" applyNumberFormat="1"/>
    <xf borderId="0" fillId="0" fontId="14" numFmtId="0" xfId="0" applyAlignment="1" applyFont="1">
      <alignment shrinkToFit="0" vertical="center" wrapText="1"/>
    </xf>
    <xf borderId="0" fillId="7" fontId="9" numFmtId="0" xfId="0" applyFill="1" applyFont="1"/>
    <xf borderId="0" fillId="0" fontId="9" numFmtId="0" xfId="0" applyAlignment="1" applyFont="1">
      <alignment horizontal="center"/>
    </xf>
    <xf borderId="4" fillId="3" fontId="7" numFmtId="0" xfId="0" applyAlignment="1" applyBorder="1" applyFill="1" applyFont="1">
      <alignment horizontal="center" shrinkToFit="0" vertical="center" wrapText="1"/>
    </xf>
    <xf borderId="0" fillId="0" fontId="3" numFmtId="173" xfId="0" applyFont="1" applyNumberFormat="1"/>
    <xf borderId="4" fillId="5" fontId="6" numFmtId="0" xfId="0" applyBorder="1" applyFill="1" applyFont="1"/>
    <xf borderId="7" fillId="5" fontId="6" numFmtId="43" xfId="0" applyBorder="1" applyFill="1" applyFont="1" applyNumberFormat="1"/>
    <xf borderId="1" fillId="11" fontId="4" numFmtId="0" xfId="0" applyBorder="1" applyFill="1" applyFont="1"/>
    <xf borderId="4" fillId="4" fontId="6" numFmtId="0" xfId="0" applyAlignment="1" applyBorder="1" applyFill="1" applyFont="1">
      <alignment shrinkToFit="0" vertical="center" wrapText="1"/>
    </xf>
    <xf borderId="7" fillId="5" fontId="3" numFmtId="0" xfId="0" applyBorder="1" applyFill="1" applyFont="1"/>
    <xf borderId="4" fillId="2" fontId="25" numFmtId="0" xfId="0" applyAlignment="1" applyBorder="1" applyFill="1" applyFont="1">
      <alignment horizontal="center" shrinkToFit="0" wrapText="1"/>
    </xf>
    <xf borderId="7" fillId="5" fontId="3" numFmtId="174" xfId="0" applyAlignment="1" applyBorder="1" applyFill="1" applyFont="1" applyNumberFormat="1">
      <alignment readingOrder="0"/>
    </xf>
    <xf borderId="7" fillId="5" fontId="3" numFmtId="175" xfId="0" applyAlignment="1" applyBorder="1" applyFill="1" applyFont="1" applyNumberFormat="1">
      <alignment readingOrder="0"/>
    </xf>
    <xf borderId="5" fillId="5" fontId="5" numFmtId="0" xfId="0" applyAlignment="1" applyBorder="1" applyFill="1" applyFont="1">
      <alignment shrinkToFit="0" vertical="top" wrapText="1"/>
    </xf>
    <xf borderId="5" fillId="6" fontId="26" numFmtId="165" xfId="0" applyAlignment="1" applyBorder="1" applyFill="1" applyFont="1" applyNumberFormat="1">
      <alignment readingOrder="0"/>
    </xf>
    <xf borderId="5" fillId="0" fontId="26" numFmtId="165" xfId="0" applyBorder="1" applyFont="1" applyNumberFormat="1"/>
    <xf borderId="5" fillId="6" fontId="26" numFmtId="165" xfId="0" applyBorder="1" applyFill="1" applyFont="1" applyNumberFormat="1"/>
    <xf borderId="5" fillId="6" fontId="27" numFmtId="0" xfId="0" applyBorder="1" applyFill="1" applyFont="1"/>
    <xf borderId="5" fillId="4" fontId="26" numFmtId="165" xfId="0" applyBorder="1" applyFill="1" applyFont="1" applyNumberFormat="1"/>
    <xf borderId="5" fillId="4" fontId="3" numFmtId="165" xfId="0" applyBorder="1" applyFill="1" applyFont="1" applyNumberFormat="1"/>
    <xf borderId="5" fillId="4" fontId="5" numFmtId="0" xfId="0" applyAlignment="1" applyBorder="1" applyFill="1" applyFont="1">
      <alignment shrinkToFit="0" vertical="top" wrapText="1"/>
    </xf>
    <xf borderId="5" fillId="5" fontId="28" numFmtId="0" xfId="0" applyBorder="1" applyFill="1" applyFont="1"/>
    <xf borderId="5" fillId="6" fontId="14" numFmtId="0" xfId="0" applyBorder="1" applyFill="1" applyFont="1"/>
    <xf borderId="5" fillId="6" fontId="14" numFmtId="165" xfId="0" applyBorder="1" applyFill="1" applyFont="1" applyNumberFormat="1"/>
    <xf borderId="5" fillId="5" fontId="3" numFmtId="165" xfId="0" applyBorder="1" applyFill="1" applyFont="1" applyNumberFormat="1"/>
    <xf borderId="5" fillId="5" fontId="14" numFmtId="165" xfId="0" applyBorder="1" applyFill="1" applyFont="1" applyNumberFormat="1"/>
    <xf borderId="5" fillId="0" fontId="27" numFmtId="0" xfId="0" applyBorder="1" applyFont="1"/>
    <xf borderId="5" fillId="5" fontId="3" numFmtId="165" xfId="0" applyAlignment="1" applyBorder="1" applyFill="1" applyFont="1" applyNumberFormat="1">
      <alignment readingOrder="0"/>
    </xf>
    <xf borderId="5" fillId="5" fontId="26" numFmtId="0" xfId="0" applyAlignment="1" applyBorder="1" applyFill="1" applyFont="1">
      <alignment vertical="bottom"/>
    </xf>
    <xf borderId="5" fillId="0" fontId="3" numFmtId="165" xfId="0" applyAlignment="1" applyBorder="1" applyFont="1" applyNumberFormat="1">
      <alignment horizontal="right" vertical="bottom"/>
    </xf>
    <xf borderId="5" fillId="0" fontId="26" numFmtId="165" xfId="0" applyAlignment="1" applyBorder="1" applyFont="1" applyNumberFormat="1">
      <alignment horizontal="right" vertical="bottom"/>
    </xf>
    <xf borderId="0" fillId="0" fontId="3" numFmtId="0" xfId="0" applyAlignment="1" applyFont="1">
      <alignment vertical="bottom"/>
    </xf>
    <xf borderId="5" fillId="0" fontId="3" numFmtId="0" xfId="0" applyAlignment="1" applyBorder="1" applyFont="1">
      <alignment vertical="bottom"/>
    </xf>
    <xf borderId="5" fillId="6" fontId="3" numFmtId="0" xfId="0" applyAlignment="1" applyBorder="1" applyFill="1" applyFont="1">
      <alignment vertical="bottom"/>
    </xf>
    <xf borderId="5" fillId="6" fontId="3" numFmtId="165" xfId="0" applyAlignment="1" applyBorder="1" applyFill="1" applyFont="1" applyNumberFormat="1">
      <alignment horizontal="right" vertical="bottom"/>
    </xf>
    <xf borderId="5" fillId="6" fontId="26" numFmtId="165" xfId="0" applyAlignment="1" applyBorder="1" applyFill="1" applyFont="1" applyNumberFormat="1">
      <alignment horizontal="right" vertical="bottom"/>
    </xf>
    <xf borderId="5" fillId="0" fontId="3" numFmtId="165" xfId="0" applyAlignment="1" applyBorder="1" applyFont="1" applyNumberFormat="1">
      <alignment horizontal="right" readingOrder="0" vertical="bottom"/>
    </xf>
    <xf borderId="5" fillId="0" fontId="3" numFmtId="0" xfId="0" applyAlignment="1" applyBorder="1" applyFont="1">
      <alignment readingOrder="0" vertical="bottom"/>
    </xf>
    <xf borderId="5" fillId="6" fontId="3" numFmtId="165" xfId="0" applyAlignment="1" applyBorder="1" applyFill="1" applyFont="1" applyNumberFormat="1">
      <alignment horizontal="right" readingOrder="0" vertical="bottom"/>
    </xf>
    <xf borderId="5" fillId="6" fontId="3" numFmtId="0" xfId="0" applyAlignment="1" applyBorder="1" applyFill="1" applyFont="1">
      <alignment readingOrder="0" vertical="bottom"/>
    </xf>
    <xf borderId="5" fillId="12" fontId="3" numFmtId="165" xfId="0" applyAlignment="1" applyBorder="1" applyFill="1" applyFont="1" applyNumberFormat="1">
      <alignment horizontal="right" readingOrder="0" vertical="bottom"/>
    </xf>
    <xf borderId="5" fillId="0" fontId="29" numFmtId="0" xfId="0" applyAlignment="1" applyBorder="1" applyFont="1">
      <alignment shrinkToFit="0" vertical="top" wrapText="1"/>
    </xf>
    <xf borderId="5" fillId="6" fontId="29" numFmtId="0" xfId="0" applyAlignment="1" applyBorder="1" applyFill="1" applyFont="1">
      <alignment shrinkToFit="0" vertical="top" wrapText="1"/>
    </xf>
    <xf borderId="5" fillId="0" fontId="3" numFmtId="165" xfId="0" applyAlignment="1" applyBorder="1" applyFont="1" applyNumberFormat="1">
      <alignment vertical="bottom"/>
    </xf>
    <xf borderId="5" fillId="6" fontId="3" numFmtId="165" xfId="0" applyAlignment="1" applyBorder="1" applyFill="1" applyFont="1" applyNumberFormat="1">
      <alignment vertical="bottom"/>
    </xf>
    <xf borderId="14" fillId="6" fontId="29" numFmtId="0" xfId="0" applyAlignment="1" applyBorder="1" applyFill="1" applyFont="1">
      <alignment shrinkToFit="0" vertical="top" wrapText="1"/>
    </xf>
    <xf borderId="5" fillId="5" fontId="3" numFmtId="0" xfId="0" applyAlignment="1" applyBorder="1" applyFill="1" applyFont="1">
      <alignment vertical="bottom"/>
    </xf>
    <xf borderId="15" fillId="0" fontId="3" numFmtId="165" xfId="0" applyAlignment="1" applyBorder="1" applyFont="1" applyNumberFormat="1">
      <alignment horizontal="right" vertical="bottom"/>
    </xf>
    <xf borderId="14" fillId="6" fontId="5" numFmtId="0" xfId="0" applyAlignment="1" applyBorder="1" applyFill="1" applyFont="1">
      <alignment shrinkToFit="0" vertical="top" wrapText="1"/>
    </xf>
    <xf borderId="5" fillId="5" fontId="3" numFmtId="0" xfId="0" applyAlignment="1" applyBorder="1" applyFill="1" applyFont="1">
      <alignment readingOrder="0" vertical="bottom"/>
    </xf>
    <xf borderId="5" fillId="5" fontId="3" numFmtId="165" xfId="0" applyAlignment="1" applyBorder="1" applyFill="1" applyFont="1" applyNumberFormat="1">
      <alignment horizontal="right" vertical="bottom"/>
    </xf>
    <xf borderId="5" fillId="5" fontId="26" numFmtId="165" xfId="0" applyAlignment="1" applyBorder="1" applyFill="1" applyFont="1" applyNumberFormat="1">
      <alignment horizontal="right" vertical="bottom"/>
    </xf>
    <xf borderId="15" fillId="5" fontId="3" numFmtId="165" xfId="0" applyAlignment="1" applyBorder="1" applyFill="1" applyFont="1" applyNumberFormat="1">
      <alignment horizontal="right" vertical="bottom"/>
    </xf>
    <xf borderId="16" fillId="5" fontId="5" numFmtId="0" xfId="0" applyAlignment="1" applyBorder="1" applyFill="1" applyFont="1">
      <alignment shrinkToFit="0" vertical="top" wrapText="1"/>
    </xf>
    <xf borderId="5" fillId="5" fontId="3" numFmtId="165" xfId="0" applyAlignment="1" applyBorder="1" applyFill="1" applyFont="1" applyNumberFormat="1">
      <alignment horizontal="right" readingOrder="0" vertical="bottom"/>
    </xf>
    <xf borderId="5" fillId="5" fontId="9" numFmtId="0" xfId="0" applyAlignment="1" applyBorder="1" applyFill="1" applyFont="1">
      <alignment readingOrder="0"/>
    </xf>
    <xf borderId="5" fillId="5" fontId="9" numFmtId="165" xfId="0" applyBorder="1" applyFill="1" applyFont="1" applyNumberFormat="1"/>
    <xf borderId="5" fillId="5" fontId="9" numFmtId="165" xfId="0" applyAlignment="1" applyBorder="1" applyFill="1" applyFont="1" applyNumberFormat="1">
      <alignment readingOrder="0"/>
    </xf>
    <xf borderId="5" fillId="0" fontId="3" numFmtId="0" xfId="0" applyAlignment="1" applyBorder="1" applyFont="1">
      <alignment vertical="bottom"/>
    </xf>
    <xf borderId="5" fillId="5" fontId="3" numFmtId="165" xfId="0" applyAlignment="1" applyBorder="1" applyFill="1" applyFont="1" applyNumberFormat="1">
      <alignment vertical="bottom"/>
    </xf>
    <xf borderId="16" fillId="5" fontId="5" numFmtId="0" xfId="0" applyAlignment="1" applyBorder="1" applyFill="1" applyFont="1">
      <alignment shrinkToFit="0" vertical="top" wrapText="1"/>
    </xf>
    <xf borderId="0" fillId="0" fontId="3" numFmtId="0" xfId="0" applyAlignment="1" applyFont="1">
      <alignment vertical="bottom"/>
    </xf>
    <xf borderId="5" fillId="2" fontId="4" numFmtId="165" xfId="0" applyBorder="1" applyFill="1" applyFont="1" applyNumberFormat="1"/>
    <xf borderId="5" fillId="2" fontId="5" numFmtId="0" xfId="0" applyAlignment="1" applyBorder="1" applyFill="1" applyFont="1">
      <alignment shrinkToFit="0" vertical="top" wrapText="1"/>
    </xf>
    <xf borderId="5" fillId="5" fontId="6" numFmtId="0" xfId="0" applyAlignment="1" applyBorder="1" applyFill="1" applyFont="1">
      <alignment readingOrder="0"/>
    </xf>
    <xf borderId="5" fillId="10" fontId="3" numFmtId="165" xfId="0" applyAlignment="1" applyBorder="1" applyFill="1" applyFont="1" applyNumberFormat="1">
      <alignment readingOrder="0"/>
    </xf>
    <xf borderId="5" fillId="0" fontId="5" numFmtId="0" xfId="0" applyAlignment="1" applyBorder="1" applyFont="1">
      <alignment readingOrder="0" shrinkToFit="0" vertical="top" wrapText="1"/>
    </xf>
    <xf borderId="0" fillId="5" fontId="26" numFmtId="0" xfId="0" applyAlignment="1" applyFill="1" applyFont="1">
      <alignment vertical="bottom"/>
    </xf>
    <xf borderId="0" fillId="5" fontId="3" numFmtId="165" xfId="0" applyAlignment="1" applyFill="1" applyFont="1" applyNumberFormat="1">
      <alignment horizontal="right" vertical="bottom"/>
    </xf>
    <xf borderId="0" fillId="5" fontId="26" numFmtId="165" xfId="0" applyAlignment="1" applyFill="1" applyFont="1" applyNumberFormat="1">
      <alignment horizontal="right" vertical="bottom"/>
    </xf>
    <xf borderId="0" fillId="5" fontId="5" numFmtId="0" xfId="0" applyAlignment="1" applyFill="1" applyFont="1">
      <alignment shrinkToFit="0" vertical="top" wrapText="1"/>
    </xf>
    <xf borderId="4" fillId="2" fontId="4" numFmtId="0" xfId="0" applyAlignment="1" applyBorder="1" applyFill="1" applyFont="1">
      <alignment horizontal="center"/>
    </xf>
    <xf borderId="0" fillId="0" fontId="6" numFmtId="0" xfId="0" applyAlignment="1" applyFont="1">
      <alignment shrinkToFit="0" vertical="top" wrapText="1"/>
    </xf>
    <xf borderId="0" fillId="0" fontId="9" numFmtId="0" xfId="0" applyAlignment="1" applyFont="1">
      <alignment shrinkToFit="0" vertical="top" wrapText="1"/>
    </xf>
    <xf borderId="5" fillId="0" fontId="3" numFmtId="0" xfId="0" applyAlignment="1" applyBorder="1" applyFont="1">
      <alignment shrinkToFit="0" vertical="center" wrapText="1"/>
    </xf>
    <xf borderId="5" fillId="0" fontId="3" numFmtId="0" xfId="0" applyAlignment="1" applyBorder="1" applyFont="1">
      <alignment shrinkToFit="0" vertical="top" wrapText="1"/>
    </xf>
    <xf borderId="0" fillId="0" fontId="3" numFmtId="0" xfId="0" applyAlignment="1" applyFont="1">
      <alignment shrinkToFit="0" vertical="top" wrapText="1"/>
    </xf>
    <xf borderId="4" fillId="3" fontId="17" numFmtId="0" xfId="0" applyAlignment="1" applyBorder="1" applyFill="1" applyFont="1">
      <alignment horizontal="center"/>
    </xf>
    <xf borderId="4" fillId="9" fontId="13" numFmtId="0" xfId="0" applyAlignment="1" applyBorder="1" applyFill="1" applyFont="1">
      <alignment horizontal="center"/>
    </xf>
    <xf borderId="0" fillId="0" fontId="26" numFmtId="0" xfId="0" applyAlignment="1" applyFont="1">
      <alignment shrinkToFit="0" vertical="top" wrapText="1"/>
    </xf>
    <xf borderId="4" fillId="13" fontId="30" numFmtId="0" xfId="0" applyAlignment="1" applyBorder="1" applyFill="1" applyFont="1">
      <alignment horizontal="center" vertical="center"/>
    </xf>
    <xf borderId="4" fillId="9" fontId="31" numFmtId="0" xfId="0" applyAlignment="1" applyBorder="1" applyFill="1" applyFont="1">
      <alignment horizontal="center" vertical="center"/>
    </xf>
    <xf borderId="4" fillId="3" fontId="17" numFmtId="0" xfId="0" applyAlignment="1" applyBorder="1" applyFill="1" applyFont="1">
      <alignment horizontal="center" vertical="center"/>
    </xf>
  </cellXfs>
  <cellStyles count="1">
    <cellStyle xfId="0" name="Normal" builtinId="0"/>
  </cellStyles>
  <dxfs count="5">
    <dxf>
      <font>
        <color rgb="FF006100"/>
      </font>
      <fill>
        <patternFill patternType="solid">
          <fgColor rgb="FFC6EFCE"/>
          <bgColor rgb="FFC6EFCE"/>
        </patternFill>
      </fill>
      <border/>
    </dxf>
    <dxf>
      <font>
        <color rgb="FF9C6500"/>
      </font>
      <fill>
        <patternFill patternType="solid">
          <fgColor rgb="FFFFEB9C"/>
          <bgColor rgb="FFFFEB9C"/>
        </patternFill>
      </fill>
      <border/>
    </dxf>
    <dxf>
      <font>
        <color rgb="FF9C0006"/>
      </font>
      <fill>
        <patternFill patternType="solid">
          <fgColor rgb="FFFFC7CE"/>
          <bgColor rgb="FFFFC7CE"/>
        </patternFill>
      </fill>
      <border/>
    </dxf>
    <dxf>
      <font>
        <b/>
        <color rgb="FF9C0006"/>
      </font>
      <fill>
        <patternFill patternType="solid">
          <fgColor rgb="FFFFC7CE"/>
          <bgColor rgb="FFFFC7CE"/>
        </patternFill>
      </fill>
      <border/>
    </dxf>
    <dxf>
      <font>
        <b/>
        <color rgb="FF006100"/>
      </font>
      <fill>
        <patternFill patternType="solid">
          <fgColor rgb="FFC6EFCE"/>
          <bgColor rgb="FFC6EF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mail.google.com/mail/u/0/?tab=rm&amp;ogbl" TargetMode="External"/><Relationship Id="rId10" Type="http://schemas.openxmlformats.org/officeDocument/2006/relationships/hyperlink" Target="https://drive.google.com/file/d/1nnuhu58zqUbPlGvl0Bdwomg5fs3YlrZ-/view?usp=drive_link" TargetMode="External"/><Relationship Id="rId13" Type="http://schemas.openxmlformats.org/officeDocument/2006/relationships/hyperlink" Target="https://drive.google.com/file/d/1uQCRRTln_MnLwbze0yjttECPr1XgUrBd/view?usp=sharing" TargetMode="External"/><Relationship Id="rId12" Type="http://schemas.openxmlformats.org/officeDocument/2006/relationships/hyperlink" Target="https://drive.google.com/file/d/1NvpzBQ9pR8QRjjeL8KZVeL4tRAnzByZh/view?usp=sharing" TargetMode="External"/><Relationship Id="rId1" Type="http://schemas.openxmlformats.org/officeDocument/2006/relationships/hyperlink" Target="https://drive.google.com/file/d/1VqYpqnDNTHxYqLOtgrAEg3Gr1heAdpmT/view?usp=sharing" TargetMode="External"/><Relationship Id="rId2" Type="http://schemas.openxmlformats.org/officeDocument/2006/relationships/hyperlink" Target="https://drive.google.com/file/d/1I1TWcgEJtxCqmzJ5-82fMiTHZJHy9pO3/view?usp=sharing" TargetMode="External"/><Relationship Id="rId3" Type="http://schemas.openxmlformats.org/officeDocument/2006/relationships/hyperlink" Target="https://mail.google.com/mail/u/0/?tab=rm&amp;ogbl" TargetMode="External"/><Relationship Id="rId4" Type="http://schemas.openxmlformats.org/officeDocument/2006/relationships/hyperlink" Target="https://drive.google.com/file/d/1ckpjqBmmkFhEElFbnUjEVgJg7cKzLT3N/view?usp=sharing" TargetMode="External"/><Relationship Id="rId9" Type="http://schemas.openxmlformats.org/officeDocument/2006/relationships/hyperlink" Target="https://drive.google.com/file/d/1r8NpiHcTxgjtVVDBlKVUybbvRa8JyLB2/view?usp=sharing" TargetMode="External"/><Relationship Id="rId15" Type="http://schemas.openxmlformats.org/officeDocument/2006/relationships/hyperlink" Target="https://drive.google.com/file/d/1KQaTLPYGyxTepaS3ziY7yqNmGUJACpf8/view?usp=sharing" TargetMode="External"/><Relationship Id="rId14" Type="http://schemas.openxmlformats.org/officeDocument/2006/relationships/hyperlink" Target="https://mail.google.com/mail/u/0/?tab=rm&amp;ogbl" TargetMode="External"/><Relationship Id="rId17" Type="http://schemas.openxmlformats.org/officeDocument/2006/relationships/hyperlink" Target="https://mail.google.com/mail/u/0/?tab=rm&amp;ogbl" TargetMode="External"/><Relationship Id="rId16" Type="http://schemas.openxmlformats.org/officeDocument/2006/relationships/hyperlink" Target="https://drive.google.com/file/d/1Oe_ALeuWtI7boWT--T7MEGf-SrRN9WkZ/view?usp=sharing" TargetMode="External"/><Relationship Id="rId5" Type="http://schemas.openxmlformats.org/officeDocument/2006/relationships/hyperlink" Target="https://mail.google.com/mail/u/0/?tab=rm&amp;ogbl" TargetMode="External"/><Relationship Id="rId19" Type="http://schemas.openxmlformats.org/officeDocument/2006/relationships/hyperlink" Target="https://mail.google.com/mail/u/0/" TargetMode="External"/><Relationship Id="rId6" Type="http://schemas.openxmlformats.org/officeDocument/2006/relationships/hyperlink" Target="https://drive.google.com/file/d/1jW2chcJL5PoBHBOZDFdGaargfYVwRjvC/view?usp=sharing" TargetMode="External"/><Relationship Id="rId18" Type="http://schemas.openxmlformats.org/officeDocument/2006/relationships/hyperlink" Target="https://mail.google.com/mail/u/0/" TargetMode="External"/><Relationship Id="rId7" Type="http://schemas.openxmlformats.org/officeDocument/2006/relationships/hyperlink" Target="https://drive.google.com/file/d/15k3M7Jzv6JEGAyWcXW8fHfAzIgwfiNqC/view?usp=sharing" TargetMode="External"/><Relationship Id="rId8" Type="http://schemas.openxmlformats.org/officeDocument/2006/relationships/hyperlink" Target="https://mail.google.com/mail/u/0/?tab=rm&amp;ogb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Row="1"/>
  <cols>
    <col customWidth="1" min="1" max="1" width="59.57"/>
    <col customWidth="1" min="2" max="13" width="12.0"/>
    <col customWidth="1" min="14" max="14" width="13.0"/>
    <col customWidth="1" min="15" max="15" width="11.0"/>
    <col customWidth="1" min="16" max="16" width="103.29"/>
    <col customWidth="1" min="17" max="17" width="8.71"/>
    <col customWidth="1" min="18" max="18" width="30.0"/>
    <col customWidth="1" min="19" max="19" width="22.0"/>
    <col customWidth="1" min="20" max="26" width="8.71"/>
  </cols>
  <sheetData>
    <row r="1" ht="19.5" customHeight="1">
      <c r="A1" s="1" t="s">
        <v>1</v>
      </c>
      <c r="B1" s="2"/>
      <c r="C1" s="2"/>
      <c r="D1" s="2"/>
      <c r="E1" s="2"/>
      <c r="F1" s="2"/>
      <c r="G1" s="2"/>
      <c r="H1" s="2"/>
      <c r="I1" s="2"/>
      <c r="J1" s="2"/>
      <c r="K1" s="2"/>
      <c r="L1" s="2"/>
      <c r="M1" s="2"/>
      <c r="N1" s="2"/>
      <c r="O1" s="2"/>
      <c r="P1" s="3"/>
      <c r="Q1" s="4"/>
      <c r="R1" s="5" t="s">
        <v>4</v>
      </c>
      <c r="S1" s="3"/>
      <c r="T1" s="4"/>
      <c r="U1" s="4"/>
      <c r="V1" s="4"/>
      <c r="W1" s="4"/>
      <c r="X1" s="4"/>
      <c r="Y1" s="4"/>
      <c r="Z1" s="4"/>
    </row>
    <row r="2" ht="19.5" customHeight="1">
      <c r="A2" s="7" t="s">
        <v>7</v>
      </c>
      <c r="Q2" s="4"/>
      <c r="R2" s="8" t="s">
        <v>9</v>
      </c>
      <c r="S2" s="10">
        <f>B14</f>
        <v>49153.5</v>
      </c>
      <c r="T2" s="4"/>
      <c r="U2" s="4"/>
      <c r="V2" s="4"/>
      <c r="W2" s="4"/>
      <c r="X2" s="4"/>
      <c r="Y2" s="4"/>
      <c r="Z2" s="4"/>
    </row>
    <row r="3" ht="19.5" customHeight="1">
      <c r="A3" s="11" t="s">
        <v>11</v>
      </c>
      <c r="B3" s="13">
        <v>46204.0</v>
      </c>
      <c r="C3" s="13">
        <v>46235.0</v>
      </c>
      <c r="D3" s="13">
        <v>46266.0</v>
      </c>
      <c r="E3" s="13">
        <v>46296.0</v>
      </c>
      <c r="F3" s="13">
        <v>46327.0</v>
      </c>
      <c r="G3" s="13">
        <v>46357.0</v>
      </c>
      <c r="H3" s="13">
        <v>46388.0</v>
      </c>
      <c r="I3" s="13">
        <v>46419.0</v>
      </c>
      <c r="J3" s="13">
        <v>46447.0</v>
      </c>
      <c r="K3" s="13">
        <v>46478.0</v>
      </c>
      <c r="L3" s="13">
        <v>46508.0</v>
      </c>
      <c r="M3" s="13">
        <v>46539.0</v>
      </c>
      <c r="N3" s="16" t="s">
        <v>19</v>
      </c>
      <c r="O3" s="16" t="s">
        <v>20</v>
      </c>
      <c r="P3" s="18" t="s">
        <v>21</v>
      </c>
      <c r="Q3" s="4"/>
      <c r="R3" s="8" t="s">
        <v>23</v>
      </c>
      <c r="S3" s="10">
        <f>C14</f>
        <v>24437.3</v>
      </c>
      <c r="T3" s="4"/>
      <c r="U3" s="4"/>
      <c r="V3" s="4"/>
      <c r="W3" s="4"/>
      <c r="X3" s="4"/>
      <c r="Y3" s="4"/>
      <c r="Z3" s="4"/>
    </row>
    <row r="4" ht="19.5" customHeight="1">
      <c r="A4" s="11" t="s">
        <v>27</v>
      </c>
      <c r="B4" s="11"/>
      <c r="C4" s="11"/>
      <c r="D4" s="11"/>
      <c r="E4" s="11"/>
      <c r="F4" s="11"/>
      <c r="G4" s="11"/>
      <c r="H4" s="11"/>
      <c r="I4" s="11"/>
      <c r="J4" s="11"/>
      <c r="K4" s="11"/>
      <c r="L4" s="11"/>
      <c r="M4" s="11"/>
      <c r="N4" s="11"/>
      <c r="O4" s="11"/>
      <c r="P4" s="11"/>
      <c r="Q4" s="4"/>
      <c r="R4" s="8" t="s">
        <v>33</v>
      </c>
      <c r="S4" s="10">
        <f>C160</f>
        <v>25000</v>
      </c>
      <c r="T4" s="4"/>
      <c r="U4" s="4"/>
      <c r="V4" s="4"/>
      <c r="W4" s="4"/>
      <c r="X4" s="4"/>
      <c r="Y4" s="4"/>
      <c r="Z4" s="4"/>
    </row>
    <row r="5" ht="19.5" customHeight="1" outlineLevel="1">
      <c r="A5" s="27" t="s">
        <v>35</v>
      </c>
      <c r="B5" s="28">
        <v>54971.04</v>
      </c>
      <c r="C5" s="29">
        <v>2728.0</v>
      </c>
      <c r="D5" s="31">
        <v>1800.0</v>
      </c>
      <c r="E5" s="28"/>
      <c r="F5" s="28"/>
      <c r="G5" s="28"/>
      <c r="H5" s="28"/>
      <c r="I5" s="28"/>
      <c r="J5" s="28"/>
      <c r="K5" s="28"/>
      <c r="L5" s="28"/>
      <c r="M5" s="28"/>
      <c r="N5" s="113"/>
      <c r="O5" s="28"/>
      <c r="P5" s="114" t="s">
        <v>182</v>
      </c>
      <c r="Q5" s="4"/>
      <c r="R5" s="8" t="s">
        <v>183</v>
      </c>
      <c r="S5" s="10">
        <f>C164</f>
        <v>26689.59</v>
      </c>
      <c r="T5" s="115" t="s">
        <v>185</v>
      </c>
      <c r="U5" s="4"/>
      <c r="V5" s="4"/>
      <c r="W5" s="4"/>
      <c r="X5" s="4"/>
      <c r="Y5" s="4"/>
      <c r="Z5" s="4"/>
    </row>
    <row r="6" ht="19.5" customHeight="1" outlineLevel="1">
      <c r="A6" s="27" t="s">
        <v>187</v>
      </c>
      <c r="B6" s="28">
        <v>-5817.54</v>
      </c>
      <c r="C6" s="29">
        <v>8075.14</v>
      </c>
      <c r="D6" s="31">
        <v>7200.0</v>
      </c>
      <c r="E6" s="28"/>
      <c r="F6" s="28"/>
      <c r="G6" s="28"/>
      <c r="H6" s="28"/>
      <c r="I6" s="28"/>
      <c r="J6" s="28"/>
      <c r="K6" s="28"/>
      <c r="L6" s="28"/>
      <c r="M6" s="28"/>
      <c r="N6" s="28"/>
      <c r="O6" s="28"/>
      <c r="P6" s="114" t="s">
        <v>199</v>
      </c>
      <c r="Q6" s="4"/>
      <c r="R6" s="8" t="s">
        <v>201</v>
      </c>
      <c r="S6" s="10">
        <f>C164+D119+D58+D151</f>
        <v>10931.88</v>
      </c>
      <c r="T6" s="115" t="s">
        <v>202</v>
      </c>
      <c r="U6" s="4"/>
      <c r="V6" s="4"/>
      <c r="W6" s="4"/>
      <c r="X6" s="4"/>
      <c r="Y6" s="4"/>
      <c r="Z6" s="4"/>
    </row>
    <row r="7" ht="19.5" customHeight="1" outlineLevel="1">
      <c r="A7" s="27" t="s">
        <v>204</v>
      </c>
      <c r="B7" s="28"/>
      <c r="C7" s="29">
        <v>-4705.29</v>
      </c>
      <c r="D7" s="123">
        <v>-6850.0</v>
      </c>
      <c r="E7" s="28"/>
      <c r="F7" s="28"/>
      <c r="G7" s="28"/>
      <c r="H7" s="28"/>
      <c r="I7" s="28"/>
      <c r="J7" s="28"/>
      <c r="K7" s="28"/>
      <c r="L7" s="28"/>
      <c r="M7" s="28"/>
      <c r="N7" s="28"/>
      <c r="O7" s="28"/>
      <c r="P7" s="114"/>
      <c r="Q7" s="4"/>
      <c r="R7" s="8" t="s">
        <v>212</v>
      </c>
      <c r="S7" s="10">
        <f>S6-C160</f>
        <v>-14068.12</v>
      </c>
      <c r="T7" s="115" t="s">
        <v>215</v>
      </c>
      <c r="U7" s="4"/>
      <c r="V7" s="4"/>
      <c r="W7" s="4"/>
      <c r="X7" s="4"/>
      <c r="Y7" s="4"/>
      <c r="Z7" s="4"/>
    </row>
    <row r="8" ht="19.5" customHeight="1" outlineLevel="1">
      <c r="A8" s="27" t="s">
        <v>216</v>
      </c>
      <c r="B8" s="28"/>
      <c r="C8" s="29">
        <v>17949.88</v>
      </c>
      <c r="D8" s="31">
        <v>8800.0</v>
      </c>
      <c r="E8" s="28"/>
      <c r="F8" s="28"/>
      <c r="G8" s="28"/>
      <c r="H8" s="28"/>
      <c r="I8" s="28"/>
      <c r="J8" s="28"/>
      <c r="K8" s="28"/>
      <c r="L8" s="28"/>
      <c r="M8" s="28"/>
      <c r="N8" s="28"/>
      <c r="O8" s="28"/>
      <c r="P8" s="114"/>
      <c r="Q8" s="4"/>
      <c r="R8" s="8" t="s">
        <v>221</v>
      </c>
      <c r="S8" s="10">
        <f>D158</f>
        <v>467152.42</v>
      </c>
      <c r="T8" s="4"/>
      <c r="U8" s="4"/>
      <c r="V8" s="4"/>
      <c r="W8" s="4"/>
      <c r="X8" s="4"/>
      <c r="Y8" s="4"/>
      <c r="Z8" s="4"/>
    </row>
    <row r="9" ht="19.5" customHeight="1" outlineLevel="1">
      <c r="A9" s="27" t="s">
        <v>224</v>
      </c>
      <c r="B9" s="28"/>
      <c r="C9" s="29">
        <v>360.65</v>
      </c>
      <c r="D9" s="31">
        <v>360.0</v>
      </c>
      <c r="E9" s="28"/>
      <c r="F9" s="28"/>
      <c r="G9" s="28"/>
      <c r="H9" s="28"/>
      <c r="I9" s="28"/>
      <c r="J9" s="28"/>
      <c r="K9" s="28"/>
      <c r="L9" s="28"/>
      <c r="M9" s="28"/>
      <c r="N9" s="28"/>
      <c r="O9" s="28"/>
      <c r="P9" s="114"/>
      <c r="Q9" s="4"/>
      <c r="R9" s="8" t="s">
        <v>228</v>
      </c>
      <c r="S9" s="10">
        <f>D164</f>
        <v>459183.71</v>
      </c>
      <c r="T9" s="115" t="s">
        <v>229</v>
      </c>
      <c r="U9" s="4"/>
      <c r="V9" s="4"/>
      <c r="W9" s="4"/>
      <c r="X9" s="4"/>
      <c r="Y9" s="4"/>
      <c r="Z9" s="4"/>
    </row>
    <row r="10" ht="19.5" customHeight="1" outlineLevel="1">
      <c r="A10" s="27" t="s">
        <v>231</v>
      </c>
      <c r="B10" s="28"/>
      <c r="C10" s="28">
        <v>28.92</v>
      </c>
      <c r="D10" s="31">
        <v>29.0</v>
      </c>
      <c r="E10" s="28"/>
      <c r="F10" s="28"/>
      <c r="G10" s="28"/>
      <c r="H10" s="28"/>
      <c r="I10" s="28"/>
      <c r="J10" s="28"/>
      <c r="K10" s="28"/>
      <c r="L10" s="28"/>
      <c r="M10" s="28"/>
      <c r="N10" s="28"/>
      <c r="O10" s="28"/>
      <c r="P10" s="114"/>
      <c r="Q10" s="4"/>
      <c r="R10" s="8" t="s">
        <v>234</v>
      </c>
      <c r="S10" s="10">
        <f>M164</f>
        <v>270595.91</v>
      </c>
      <c r="T10" s="115" t="s">
        <v>235</v>
      </c>
      <c r="U10" s="4"/>
      <c r="V10" s="4"/>
      <c r="W10" s="4"/>
      <c r="X10" s="4"/>
      <c r="Y10" s="4"/>
      <c r="Z10" s="4"/>
    </row>
    <row r="11" ht="19.5" customHeight="1" outlineLevel="1">
      <c r="A11" s="27" t="s">
        <v>236</v>
      </c>
      <c r="B11" s="28"/>
      <c r="C11" s="28">
        <v>0.0</v>
      </c>
      <c r="D11" s="31">
        <v>0.0</v>
      </c>
      <c r="E11" s="28"/>
      <c r="F11" s="28"/>
      <c r="G11" s="28"/>
      <c r="H11" s="28"/>
      <c r="I11" s="28"/>
      <c r="J11" s="28"/>
      <c r="K11" s="28"/>
      <c r="L11" s="28"/>
      <c r="M11" s="28"/>
      <c r="N11" s="28"/>
      <c r="O11" s="28"/>
      <c r="P11" s="114"/>
      <c r="Q11" s="4"/>
      <c r="R11" s="8"/>
      <c r="S11" s="132"/>
      <c r="T11" s="4"/>
      <c r="U11" s="4"/>
      <c r="V11" s="4"/>
      <c r="W11" s="4"/>
      <c r="X11" s="4"/>
      <c r="Y11" s="4"/>
      <c r="Z11" s="4"/>
    </row>
    <row r="12" ht="19.5" customHeight="1" outlineLevel="1">
      <c r="A12" s="27" t="s">
        <v>239</v>
      </c>
      <c r="B12" s="28"/>
      <c r="C12" s="29">
        <v>0.0</v>
      </c>
      <c r="D12" s="31">
        <v>25000.0</v>
      </c>
      <c r="E12" s="28"/>
      <c r="F12" s="28"/>
      <c r="G12" s="28"/>
      <c r="H12" s="28"/>
      <c r="I12" s="28"/>
      <c r="J12" s="28"/>
      <c r="K12" s="28"/>
      <c r="L12" s="28"/>
      <c r="M12" s="28"/>
      <c r="N12" s="28"/>
      <c r="O12" s="28"/>
      <c r="P12" s="114" t="s">
        <v>270</v>
      </c>
      <c r="Q12" s="4"/>
      <c r="R12" s="8"/>
      <c r="S12" s="132"/>
      <c r="T12" s="4"/>
      <c r="U12" s="4"/>
      <c r="V12" s="4"/>
      <c r="W12" s="4"/>
      <c r="X12" s="4"/>
      <c r="Y12" s="4"/>
      <c r="Z12" s="4"/>
    </row>
    <row r="13" ht="19.5" customHeight="1" outlineLevel="1">
      <c r="A13" s="27" t="s">
        <v>271</v>
      </c>
      <c r="B13" s="28"/>
      <c r="C13" s="28">
        <v>0.0</v>
      </c>
      <c r="D13" s="31">
        <v>0.0</v>
      </c>
      <c r="E13" s="28"/>
      <c r="F13" s="28"/>
      <c r="G13" s="28"/>
      <c r="H13" s="28"/>
      <c r="I13" s="28"/>
      <c r="J13" s="28"/>
      <c r="K13" s="28"/>
      <c r="L13" s="28"/>
      <c r="M13" s="28"/>
      <c r="N13" s="28"/>
      <c r="O13" s="28"/>
      <c r="P13" s="114" t="s">
        <v>272</v>
      </c>
      <c r="Q13" s="4"/>
      <c r="R13" s="8"/>
      <c r="S13" s="132"/>
      <c r="T13" s="4"/>
      <c r="U13" s="4"/>
      <c r="V13" s="4"/>
      <c r="W13" s="4"/>
      <c r="X13" s="4"/>
      <c r="Y13" s="4"/>
      <c r="Z13" s="4"/>
    </row>
    <row r="14">
      <c r="A14" s="25" t="s">
        <v>273</v>
      </c>
      <c r="B14" s="55">
        <f t="shared" ref="B14:D14" si="1">SUM(B5:B13)</f>
        <v>49153.5</v>
      </c>
      <c r="C14" s="55">
        <f t="shared" si="1"/>
        <v>24437.3</v>
      </c>
      <c r="D14" s="55">
        <f t="shared" si="1"/>
        <v>36339</v>
      </c>
      <c r="E14" s="55">
        <f t="shared" ref="E14:M14" si="2">D164</f>
        <v>459183.71</v>
      </c>
      <c r="F14" s="55">
        <f t="shared" si="2"/>
        <v>441919.33</v>
      </c>
      <c r="G14" s="55">
        <f t="shared" si="2"/>
        <v>427904.95</v>
      </c>
      <c r="H14" s="55">
        <f t="shared" si="2"/>
        <v>414190.57</v>
      </c>
      <c r="I14" s="55">
        <f t="shared" si="2"/>
        <v>396976.19</v>
      </c>
      <c r="J14" s="55">
        <f t="shared" si="2"/>
        <v>382556.81</v>
      </c>
      <c r="K14" s="55">
        <f t="shared" si="2"/>
        <v>368842.43</v>
      </c>
      <c r="L14" s="55">
        <f t="shared" si="2"/>
        <v>308628.05</v>
      </c>
      <c r="M14" s="55">
        <f t="shared" si="2"/>
        <v>278613.67</v>
      </c>
      <c r="N14" s="26"/>
      <c r="O14" s="26"/>
      <c r="P14" s="142" t="s">
        <v>274</v>
      </c>
      <c r="Q14" s="4"/>
      <c r="R14" s="4"/>
      <c r="S14" s="4"/>
      <c r="T14" s="4"/>
      <c r="U14" s="4"/>
      <c r="V14" s="4"/>
      <c r="W14" s="4"/>
      <c r="X14" s="4"/>
      <c r="Y14" s="4"/>
      <c r="Z14" s="4"/>
    </row>
    <row r="15" ht="19.5" customHeight="1">
      <c r="A15" s="11" t="s">
        <v>275</v>
      </c>
      <c r="B15" s="11"/>
      <c r="C15" s="11"/>
      <c r="D15" s="11"/>
      <c r="E15" s="11"/>
      <c r="F15" s="11"/>
      <c r="G15" s="11"/>
      <c r="H15" s="11"/>
      <c r="I15" s="11"/>
      <c r="J15" s="11"/>
      <c r="K15" s="11"/>
      <c r="L15" s="11"/>
      <c r="M15" s="11"/>
      <c r="N15" s="11"/>
      <c r="O15" s="11"/>
      <c r="P15" s="11"/>
      <c r="Q15" s="4"/>
      <c r="R15" s="4"/>
      <c r="S15" s="4"/>
      <c r="T15" s="4"/>
      <c r="U15" s="4"/>
      <c r="V15" s="4"/>
      <c r="W15" s="4"/>
      <c r="X15" s="4"/>
      <c r="Y15" s="4"/>
      <c r="Z15" s="4"/>
    </row>
    <row r="16" outlineLevel="1">
      <c r="A16" s="27" t="s">
        <v>276</v>
      </c>
      <c r="B16" s="143">
        <v>350.0</v>
      </c>
      <c r="C16" s="143">
        <v>350.0</v>
      </c>
      <c r="D16" s="143">
        <v>350.0</v>
      </c>
      <c r="E16" s="143">
        <v>350.0</v>
      </c>
      <c r="F16" s="143">
        <v>350.0</v>
      </c>
      <c r="G16" s="143">
        <v>350.0</v>
      </c>
      <c r="H16" s="143">
        <v>350.0</v>
      </c>
      <c r="I16" s="143">
        <v>350.0</v>
      </c>
      <c r="J16" s="143">
        <v>350.0</v>
      </c>
      <c r="K16" s="143">
        <v>350.0</v>
      </c>
      <c r="L16" s="143">
        <v>350.0</v>
      </c>
      <c r="M16" s="143">
        <v>350.0</v>
      </c>
      <c r="N16" s="113">
        <f t="shared" ref="N16:N24" si="3">SUM(B16:M16)</f>
        <v>4200</v>
      </c>
      <c r="O16" s="28">
        <f t="shared" ref="O16:O24" si="4">N16/12</f>
        <v>350</v>
      </c>
      <c r="P16" s="114" t="s">
        <v>277</v>
      </c>
      <c r="Q16" s="4"/>
      <c r="R16" s="4"/>
      <c r="S16" s="4"/>
      <c r="T16" s="4"/>
      <c r="U16" s="4"/>
      <c r="V16" s="4"/>
      <c r="W16" s="4"/>
      <c r="X16" s="4"/>
      <c r="Y16" s="4"/>
      <c r="Z16" s="4"/>
    </row>
    <row r="17" outlineLevel="1">
      <c r="A17" s="30" t="s">
        <v>278</v>
      </c>
      <c r="B17" s="144">
        <v>250.0</v>
      </c>
      <c r="D17" s="144"/>
      <c r="E17" s="144"/>
      <c r="F17" s="144"/>
      <c r="G17" s="144"/>
      <c r="H17" s="144"/>
      <c r="I17" s="144"/>
      <c r="J17" s="144"/>
      <c r="K17" s="144"/>
      <c r="L17" s="144"/>
      <c r="M17" s="144">
        <v>1213.31</v>
      </c>
      <c r="N17" s="116">
        <f t="shared" si="3"/>
        <v>1463.31</v>
      </c>
      <c r="O17" s="32">
        <f t="shared" si="4"/>
        <v>121.9425</v>
      </c>
      <c r="P17" s="84" t="s">
        <v>279</v>
      </c>
      <c r="Q17" s="4"/>
      <c r="R17" s="4"/>
      <c r="S17" s="4"/>
      <c r="T17" s="4"/>
      <c r="U17" s="4"/>
      <c r="V17" s="4"/>
      <c r="W17" s="4"/>
      <c r="X17" s="4"/>
      <c r="Y17" s="4"/>
      <c r="Z17" s="4"/>
    </row>
    <row r="18" outlineLevel="1">
      <c r="A18" s="30" t="s">
        <v>280</v>
      </c>
      <c r="B18" s="145"/>
      <c r="C18" s="143"/>
      <c r="D18" s="143">
        <v>5495.0</v>
      </c>
      <c r="E18" s="145"/>
      <c r="F18" s="145"/>
      <c r="G18" s="145"/>
      <c r="H18" s="145"/>
      <c r="I18" s="145"/>
      <c r="J18" s="145"/>
      <c r="K18" s="145"/>
      <c r="L18" s="145"/>
      <c r="M18" s="145">
        <v>2500.0</v>
      </c>
      <c r="N18" s="116">
        <f t="shared" si="3"/>
        <v>7995</v>
      </c>
      <c r="O18" s="32">
        <f t="shared" si="4"/>
        <v>666.25</v>
      </c>
      <c r="P18" s="114" t="s">
        <v>281</v>
      </c>
      <c r="Q18" s="4"/>
      <c r="R18" s="4"/>
      <c r="S18" s="4"/>
      <c r="T18" s="4"/>
      <c r="U18" s="4"/>
      <c r="V18" s="4"/>
      <c r="W18" s="4"/>
      <c r="X18" s="4"/>
      <c r="Y18" s="4"/>
      <c r="Z18" s="4"/>
    </row>
    <row r="19" outlineLevel="1">
      <c r="A19" s="30" t="s">
        <v>282</v>
      </c>
      <c r="B19" s="143"/>
      <c r="C19" s="143">
        <v>5000.0</v>
      </c>
      <c r="D19" s="145"/>
      <c r="E19" s="145"/>
      <c r="F19" s="145"/>
      <c r="G19" s="145"/>
      <c r="H19" s="145"/>
      <c r="I19" s="145"/>
      <c r="J19" s="145"/>
      <c r="K19" s="145"/>
      <c r="L19" s="145"/>
      <c r="M19" s="145">
        <v>2000.0</v>
      </c>
      <c r="N19" s="116">
        <f t="shared" si="3"/>
        <v>7000</v>
      </c>
      <c r="O19" s="32">
        <f t="shared" si="4"/>
        <v>583.3333333</v>
      </c>
      <c r="P19" s="114" t="s">
        <v>283</v>
      </c>
      <c r="Q19" s="4"/>
      <c r="R19" s="4"/>
      <c r="S19" s="4"/>
      <c r="T19" s="4"/>
      <c r="U19" s="4"/>
      <c r="V19" s="4"/>
      <c r="W19" s="4"/>
      <c r="X19" s="4"/>
      <c r="Y19" s="4"/>
      <c r="Z19" s="4"/>
    </row>
    <row r="20" outlineLevel="1">
      <c r="A20" s="146" t="s">
        <v>284</v>
      </c>
      <c r="B20" s="145"/>
      <c r="C20" s="145"/>
      <c r="D20" s="145"/>
      <c r="E20" s="145"/>
      <c r="F20" s="145"/>
      <c r="G20" s="145"/>
      <c r="H20" s="145"/>
      <c r="I20" s="145"/>
      <c r="J20" s="145"/>
      <c r="K20" s="145"/>
      <c r="L20" s="145"/>
      <c r="M20" s="145"/>
      <c r="N20" s="116">
        <f t="shared" si="3"/>
        <v>0</v>
      </c>
      <c r="O20" s="32">
        <f t="shared" si="4"/>
        <v>0</v>
      </c>
      <c r="P20" s="114"/>
      <c r="Q20" s="4"/>
      <c r="R20" s="4"/>
      <c r="S20" s="4"/>
      <c r="T20" s="4"/>
      <c r="U20" s="4"/>
      <c r="V20" s="4"/>
      <c r="W20" s="4"/>
      <c r="X20" s="4"/>
      <c r="Y20" s="4"/>
      <c r="Z20" s="4"/>
    </row>
    <row r="21" ht="15.75" customHeight="1" outlineLevel="1">
      <c r="A21" s="27" t="s">
        <v>285</v>
      </c>
      <c r="B21" s="145"/>
      <c r="C21" s="145"/>
      <c r="D21" s="145"/>
      <c r="E21" s="145"/>
      <c r="F21" s="145"/>
      <c r="G21" s="145"/>
      <c r="H21" s="145"/>
      <c r="I21" s="145"/>
      <c r="J21" s="145"/>
      <c r="K21" s="145"/>
      <c r="L21" s="145"/>
      <c r="M21" s="145">
        <v>77.39</v>
      </c>
      <c r="N21" s="113">
        <f t="shared" si="3"/>
        <v>77.39</v>
      </c>
      <c r="O21" s="28">
        <f t="shared" si="4"/>
        <v>6.449166667</v>
      </c>
      <c r="P21" s="114" t="s">
        <v>286</v>
      </c>
      <c r="Q21" s="4"/>
      <c r="R21" s="4"/>
      <c r="S21" s="4"/>
      <c r="T21" s="4"/>
      <c r="U21" s="4"/>
      <c r="V21" s="4"/>
      <c r="W21" s="4"/>
      <c r="X21" s="4"/>
      <c r="Y21" s="4"/>
      <c r="Z21" s="4"/>
    </row>
    <row r="22" ht="15.75" customHeight="1" outlineLevel="1">
      <c r="A22" s="30" t="s">
        <v>287</v>
      </c>
      <c r="B22" s="144"/>
      <c r="C22" s="144"/>
      <c r="D22" s="144"/>
      <c r="E22" s="144"/>
      <c r="F22" s="144"/>
      <c r="G22" s="144"/>
      <c r="H22" s="144"/>
      <c r="I22" s="144"/>
      <c r="J22" s="144"/>
      <c r="K22" s="144"/>
      <c r="L22" s="144"/>
      <c r="M22" s="144">
        <v>475.92</v>
      </c>
      <c r="N22" s="116">
        <f t="shared" si="3"/>
        <v>475.92</v>
      </c>
      <c r="O22" s="32">
        <f t="shared" si="4"/>
        <v>39.66</v>
      </c>
      <c r="P22" s="84" t="s">
        <v>286</v>
      </c>
      <c r="Q22" s="4"/>
      <c r="R22" s="4"/>
      <c r="S22" s="4"/>
      <c r="T22" s="4"/>
      <c r="U22" s="4"/>
      <c r="V22" s="4"/>
      <c r="W22" s="4"/>
      <c r="X22" s="4"/>
      <c r="Y22" s="4"/>
      <c r="Z22" s="4"/>
    </row>
    <row r="23" ht="15.75" customHeight="1" outlineLevel="1">
      <c r="A23" s="27" t="s">
        <v>288</v>
      </c>
      <c r="B23" s="145"/>
      <c r="C23" s="145"/>
      <c r="D23" s="145"/>
      <c r="E23" s="145"/>
      <c r="F23" s="145"/>
      <c r="G23" s="145"/>
      <c r="H23" s="145"/>
      <c r="I23" s="145"/>
      <c r="J23" s="145"/>
      <c r="K23" s="145"/>
      <c r="L23" s="145"/>
      <c r="M23" s="145">
        <v>660.0</v>
      </c>
      <c r="N23" s="113">
        <f t="shared" si="3"/>
        <v>660</v>
      </c>
      <c r="O23" s="28">
        <f t="shared" si="4"/>
        <v>55</v>
      </c>
      <c r="P23" s="114" t="s">
        <v>286</v>
      </c>
      <c r="Q23" s="4"/>
      <c r="R23" s="4"/>
      <c r="S23" s="4"/>
      <c r="T23" s="4"/>
      <c r="U23" s="4"/>
      <c r="V23" s="4"/>
      <c r="W23" s="4"/>
      <c r="X23" s="4"/>
      <c r="Y23" s="4"/>
      <c r="Z23" s="4"/>
    </row>
    <row r="24" ht="19.5" customHeight="1">
      <c r="A24" s="86" t="s">
        <v>289</v>
      </c>
      <c r="B24" s="147">
        <f t="shared" ref="B24:M24" si="5">SUM(B16:B23)</f>
        <v>600</v>
      </c>
      <c r="C24" s="147">
        <f t="shared" si="5"/>
        <v>5350</v>
      </c>
      <c r="D24" s="147">
        <f t="shared" si="5"/>
        <v>5845</v>
      </c>
      <c r="E24" s="147">
        <f t="shared" si="5"/>
        <v>350</v>
      </c>
      <c r="F24" s="147">
        <f t="shared" si="5"/>
        <v>350</v>
      </c>
      <c r="G24" s="147">
        <f t="shared" si="5"/>
        <v>350</v>
      </c>
      <c r="H24" s="147">
        <f t="shared" si="5"/>
        <v>350</v>
      </c>
      <c r="I24" s="147">
        <f t="shared" si="5"/>
        <v>350</v>
      </c>
      <c r="J24" s="147">
        <f t="shared" si="5"/>
        <v>350</v>
      </c>
      <c r="K24" s="147">
        <f t="shared" si="5"/>
        <v>350</v>
      </c>
      <c r="L24" s="147">
        <f t="shared" si="5"/>
        <v>350</v>
      </c>
      <c r="M24" s="147">
        <f t="shared" si="5"/>
        <v>7276.62</v>
      </c>
      <c r="N24" s="87">
        <f t="shared" si="3"/>
        <v>21871.62</v>
      </c>
      <c r="O24" s="148">
        <f t="shared" si="4"/>
        <v>1822.635</v>
      </c>
      <c r="P24" s="149" t="s">
        <v>290</v>
      </c>
      <c r="Q24" s="4"/>
      <c r="R24" s="4"/>
      <c r="S24" s="4"/>
      <c r="T24" s="4"/>
      <c r="U24" s="4"/>
      <c r="V24" s="4"/>
      <c r="W24" s="4"/>
      <c r="X24" s="4"/>
      <c r="Y24" s="4"/>
      <c r="Z24" s="4"/>
    </row>
    <row r="25" ht="15.75" customHeight="1">
      <c r="A25" s="150" t="s">
        <v>291</v>
      </c>
      <c r="B25" s="26"/>
      <c r="C25" s="26"/>
      <c r="D25" s="26"/>
      <c r="E25" s="26"/>
      <c r="F25" s="26"/>
      <c r="G25" s="26"/>
      <c r="H25" s="26"/>
      <c r="I25" s="26"/>
      <c r="J25" s="26"/>
      <c r="K25" s="26"/>
      <c r="L25" s="26"/>
      <c r="M25" s="26"/>
      <c r="N25" s="26"/>
      <c r="O25" s="26"/>
      <c r="P25" s="26"/>
      <c r="Q25" s="4"/>
      <c r="R25" s="4"/>
      <c r="S25" s="4"/>
      <c r="T25" s="4"/>
      <c r="U25" s="4"/>
      <c r="V25" s="4"/>
      <c r="W25" s="4"/>
      <c r="X25" s="4"/>
      <c r="Y25" s="4"/>
      <c r="Z25" s="4"/>
    </row>
    <row r="26" ht="15.75" hidden="1" customHeight="1" outlineLevel="1">
      <c r="A26" s="151" t="s">
        <v>292</v>
      </c>
      <c r="B26" s="152">
        <v>0.0</v>
      </c>
      <c r="C26" s="152">
        <v>0.0</v>
      </c>
      <c r="D26" s="152">
        <v>0.0</v>
      </c>
      <c r="E26" s="152">
        <v>0.0</v>
      </c>
      <c r="F26" s="152">
        <v>0.0</v>
      </c>
      <c r="G26" s="152">
        <v>0.0</v>
      </c>
      <c r="H26" s="152">
        <v>0.0</v>
      </c>
      <c r="I26" s="152">
        <v>0.0</v>
      </c>
      <c r="J26" s="152">
        <v>0.0</v>
      </c>
      <c r="K26" s="152">
        <v>0.0</v>
      </c>
      <c r="L26" s="152">
        <v>0.0</v>
      </c>
      <c r="M26" s="152">
        <v>0.0</v>
      </c>
      <c r="N26" s="152">
        <f t="shared" ref="N26:N38" si="6">SUM(B26:M26)</f>
        <v>0</v>
      </c>
      <c r="O26" s="152">
        <f t="shared" ref="O26:O38" si="7">N26/12</f>
        <v>0</v>
      </c>
      <c r="P26" s="114" t="s">
        <v>293</v>
      </c>
      <c r="Q26" s="4"/>
      <c r="R26" s="4"/>
      <c r="S26" s="4"/>
      <c r="T26" s="4"/>
      <c r="U26" s="4"/>
      <c r="V26" s="4"/>
      <c r="W26" s="4"/>
      <c r="X26" s="4"/>
      <c r="Y26" s="4"/>
      <c r="Z26" s="4"/>
    </row>
    <row r="27" ht="15.75" hidden="1" customHeight="1" outlineLevel="1">
      <c r="A27" s="94" t="s">
        <v>294</v>
      </c>
      <c r="B27" s="95">
        <v>0.0</v>
      </c>
      <c r="C27" s="95">
        <v>0.0</v>
      </c>
      <c r="D27" s="95">
        <v>0.0</v>
      </c>
      <c r="E27" s="95">
        <v>0.0</v>
      </c>
      <c r="F27" s="95">
        <v>0.0</v>
      </c>
      <c r="G27" s="95">
        <v>0.0</v>
      </c>
      <c r="H27" s="95">
        <v>0.0</v>
      </c>
      <c r="I27" s="95">
        <v>0.0</v>
      </c>
      <c r="J27" s="95">
        <v>0.0</v>
      </c>
      <c r="K27" s="95">
        <v>0.0</v>
      </c>
      <c r="L27" s="95">
        <v>0.0</v>
      </c>
      <c r="M27" s="95">
        <v>0.0</v>
      </c>
      <c r="N27" s="95">
        <f t="shared" si="6"/>
        <v>0</v>
      </c>
      <c r="O27" s="95">
        <f t="shared" si="7"/>
        <v>0</v>
      </c>
      <c r="P27" s="84" t="s">
        <v>295</v>
      </c>
      <c r="Q27" s="4"/>
      <c r="R27" s="4"/>
      <c r="S27" s="4"/>
      <c r="T27" s="4"/>
      <c r="U27" s="4"/>
      <c r="V27" s="4"/>
      <c r="W27" s="4"/>
      <c r="X27" s="4"/>
      <c r="Y27" s="4"/>
      <c r="Z27" s="4"/>
    </row>
    <row r="28" ht="15.75" hidden="1" customHeight="1" outlineLevel="1">
      <c r="A28" s="151" t="s">
        <v>296</v>
      </c>
      <c r="B28" s="152">
        <v>0.0</v>
      </c>
      <c r="C28" s="152">
        <v>0.0</v>
      </c>
      <c r="D28" s="152">
        <v>0.0</v>
      </c>
      <c r="E28" s="152">
        <v>0.0</v>
      </c>
      <c r="F28" s="152">
        <v>0.0</v>
      </c>
      <c r="G28" s="152">
        <v>0.0</v>
      </c>
      <c r="H28" s="152">
        <v>0.0</v>
      </c>
      <c r="I28" s="152">
        <v>0.0</v>
      </c>
      <c r="J28" s="152">
        <v>0.0</v>
      </c>
      <c r="K28" s="152">
        <v>0.0</v>
      </c>
      <c r="L28" s="152">
        <v>0.0</v>
      </c>
      <c r="M28" s="152">
        <v>0.0</v>
      </c>
      <c r="N28" s="152">
        <f t="shared" si="6"/>
        <v>0</v>
      </c>
      <c r="O28" s="152">
        <f t="shared" si="7"/>
        <v>0</v>
      </c>
      <c r="P28" s="114" t="s">
        <v>297</v>
      </c>
      <c r="Q28" s="4"/>
      <c r="R28" s="4"/>
      <c r="S28" s="4"/>
      <c r="T28" s="4"/>
      <c r="U28" s="4"/>
      <c r="V28" s="4"/>
      <c r="W28" s="4"/>
      <c r="X28" s="4"/>
      <c r="Y28" s="4"/>
      <c r="Z28" s="4"/>
    </row>
    <row r="29" ht="15.75" hidden="1" customHeight="1" outlineLevel="1">
      <c r="A29" s="94" t="s">
        <v>298</v>
      </c>
      <c r="B29" s="95">
        <v>0.0</v>
      </c>
      <c r="C29" s="95">
        <v>0.0</v>
      </c>
      <c r="D29" s="95">
        <v>0.0</v>
      </c>
      <c r="E29" s="95">
        <v>0.0</v>
      </c>
      <c r="F29" s="95">
        <v>0.0</v>
      </c>
      <c r="G29" s="95">
        <v>0.0</v>
      </c>
      <c r="H29" s="95">
        <v>0.0</v>
      </c>
      <c r="I29" s="95">
        <v>0.0</v>
      </c>
      <c r="J29" s="95">
        <v>0.0</v>
      </c>
      <c r="K29" s="95">
        <v>0.0</v>
      </c>
      <c r="L29" s="95">
        <v>0.0</v>
      </c>
      <c r="M29" s="95">
        <v>0.0</v>
      </c>
      <c r="N29" s="95">
        <f t="shared" si="6"/>
        <v>0</v>
      </c>
      <c r="O29" s="95">
        <f t="shared" si="7"/>
        <v>0</v>
      </c>
      <c r="P29" s="84" t="s">
        <v>299</v>
      </c>
      <c r="Q29" s="4"/>
      <c r="R29" s="4"/>
      <c r="S29" s="4"/>
      <c r="T29" s="4"/>
      <c r="U29" s="4"/>
      <c r="V29" s="4"/>
      <c r="W29" s="4"/>
      <c r="X29" s="4"/>
      <c r="Y29" s="4"/>
      <c r="Z29" s="4"/>
    </row>
    <row r="30" ht="15.75" hidden="1" customHeight="1" outlineLevel="1">
      <c r="A30" s="151" t="s">
        <v>300</v>
      </c>
      <c r="B30" s="152">
        <v>0.0</v>
      </c>
      <c r="C30" s="152">
        <v>0.0</v>
      </c>
      <c r="D30" s="152">
        <v>0.0</v>
      </c>
      <c r="E30" s="152">
        <v>0.0</v>
      </c>
      <c r="F30" s="152">
        <v>0.0</v>
      </c>
      <c r="G30" s="152">
        <v>0.0</v>
      </c>
      <c r="H30" s="152">
        <v>0.0</v>
      </c>
      <c r="I30" s="152">
        <v>0.0</v>
      </c>
      <c r="J30" s="152">
        <v>0.0</v>
      </c>
      <c r="K30" s="152">
        <v>0.0</v>
      </c>
      <c r="L30" s="152">
        <v>0.0</v>
      </c>
      <c r="M30" s="152">
        <v>0.0</v>
      </c>
      <c r="N30" s="152">
        <f t="shared" si="6"/>
        <v>0</v>
      </c>
      <c r="O30" s="152">
        <f t="shared" si="7"/>
        <v>0</v>
      </c>
      <c r="P30" s="114" t="s">
        <v>301</v>
      </c>
      <c r="Q30" s="4"/>
      <c r="R30" s="4"/>
      <c r="S30" s="4"/>
      <c r="T30" s="4"/>
      <c r="U30" s="4"/>
      <c r="V30" s="4"/>
      <c r="W30" s="4"/>
      <c r="X30" s="4"/>
      <c r="Y30" s="4"/>
      <c r="Z30" s="4"/>
    </row>
    <row r="31" ht="15.75" hidden="1" customHeight="1" outlineLevel="1">
      <c r="A31" s="94" t="s">
        <v>302</v>
      </c>
      <c r="B31" s="95">
        <v>0.0</v>
      </c>
      <c r="C31" s="95">
        <v>0.0</v>
      </c>
      <c r="D31" s="95">
        <v>0.0</v>
      </c>
      <c r="E31" s="95">
        <v>0.0</v>
      </c>
      <c r="F31" s="95">
        <v>0.0</v>
      </c>
      <c r="G31" s="95">
        <v>0.0</v>
      </c>
      <c r="H31" s="95">
        <v>0.0</v>
      </c>
      <c r="I31" s="95">
        <v>0.0</v>
      </c>
      <c r="J31" s="95">
        <v>0.0</v>
      </c>
      <c r="K31" s="95">
        <v>0.0</v>
      </c>
      <c r="L31" s="95">
        <v>0.0</v>
      </c>
      <c r="M31" s="95">
        <v>0.0</v>
      </c>
      <c r="N31" s="95">
        <f t="shared" si="6"/>
        <v>0</v>
      </c>
      <c r="O31" s="95">
        <f t="shared" si="7"/>
        <v>0</v>
      </c>
      <c r="P31" s="84" t="s">
        <v>303</v>
      </c>
      <c r="Q31" s="4"/>
      <c r="R31" s="4"/>
      <c r="S31" s="4"/>
      <c r="T31" s="4"/>
      <c r="U31" s="4"/>
      <c r="V31" s="4"/>
      <c r="W31" s="4"/>
      <c r="X31" s="4"/>
      <c r="Y31" s="4"/>
      <c r="Z31" s="4"/>
    </row>
    <row r="32" ht="15.75" hidden="1" customHeight="1" outlineLevel="1">
      <c r="A32" s="151" t="s">
        <v>304</v>
      </c>
      <c r="B32" s="152">
        <v>0.0</v>
      </c>
      <c r="C32" s="152">
        <v>0.0</v>
      </c>
      <c r="D32" s="152">
        <v>0.0</v>
      </c>
      <c r="E32" s="152">
        <v>0.0</v>
      </c>
      <c r="F32" s="152">
        <v>0.0</v>
      </c>
      <c r="G32" s="152">
        <v>0.0</v>
      </c>
      <c r="H32" s="152">
        <v>0.0</v>
      </c>
      <c r="I32" s="152">
        <v>0.0</v>
      </c>
      <c r="J32" s="152">
        <v>0.0</v>
      </c>
      <c r="K32" s="152">
        <v>0.0</v>
      </c>
      <c r="L32" s="152">
        <v>0.0</v>
      </c>
      <c r="M32" s="152">
        <v>0.0</v>
      </c>
      <c r="N32" s="152">
        <f t="shared" si="6"/>
        <v>0</v>
      </c>
      <c r="O32" s="152">
        <f t="shared" si="7"/>
        <v>0</v>
      </c>
      <c r="P32" s="114" t="s">
        <v>303</v>
      </c>
      <c r="Q32" s="4"/>
      <c r="R32" s="4"/>
      <c r="S32" s="4"/>
      <c r="T32" s="4"/>
      <c r="U32" s="4"/>
      <c r="V32" s="4"/>
      <c r="W32" s="4"/>
      <c r="X32" s="4"/>
      <c r="Y32" s="4"/>
      <c r="Z32" s="4"/>
    </row>
    <row r="33" ht="15.75" hidden="1" customHeight="1" outlineLevel="1">
      <c r="A33" s="94" t="s">
        <v>305</v>
      </c>
      <c r="B33" s="95">
        <v>0.0</v>
      </c>
      <c r="C33" s="95">
        <v>0.0</v>
      </c>
      <c r="D33" s="95">
        <v>0.0</v>
      </c>
      <c r="E33" s="95">
        <v>0.0</v>
      </c>
      <c r="F33" s="95">
        <v>0.0</v>
      </c>
      <c r="G33" s="95">
        <v>0.0</v>
      </c>
      <c r="H33" s="95">
        <v>0.0</v>
      </c>
      <c r="I33" s="95">
        <v>0.0</v>
      </c>
      <c r="J33" s="95">
        <v>0.0</v>
      </c>
      <c r="K33" s="95">
        <v>0.0</v>
      </c>
      <c r="L33" s="95">
        <v>0.0</v>
      </c>
      <c r="M33" s="95">
        <v>0.0</v>
      </c>
      <c r="N33" s="95">
        <f t="shared" si="6"/>
        <v>0</v>
      </c>
      <c r="O33" s="95">
        <f t="shared" si="7"/>
        <v>0</v>
      </c>
      <c r="P33" s="84" t="s">
        <v>306</v>
      </c>
      <c r="Q33" s="4"/>
      <c r="R33" s="4"/>
      <c r="S33" s="4"/>
      <c r="T33" s="4"/>
      <c r="U33" s="4"/>
      <c r="V33" s="4"/>
      <c r="W33" s="4"/>
      <c r="X33" s="4"/>
      <c r="Y33" s="4"/>
      <c r="Z33" s="4"/>
    </row>
    <row r="34" ht="15.75" hidden="1" customHeight="1" outlineLevel="1">
      <c r="A34" s="151" t="s">
        <v>307</v>
      </c>
      <c r="B34" s="152">
        <v>0.0</v>
      </c>
      <c r="C34" s="152">
        <v>0.0</v>
      </c>
      <c r="D34" s="152">
        <v>0.0</v>
      </c>
      <c r="E34" s="152">
        <v>0.0</v>
      </c>
      <c r="F34" s="152">
        <v>0.0</v>
      </c>
      <c r="G34" s="152">
        <v>0.0</v>
      </c>
      <c r="H34" s="152">
        <v>0.0</v>
      </c>
      <c r="I34" s="152">
        <v>0.0</v>
      </c>
      <c r="J34" s="152">
        <v>0.0</v>
      </c>
      <c r="K34" s="152">
        <v>0.0</v>
      </c>
      <c r="L34" s="152">
        <v>0.0</v>
      </c>
      <c r="M34" s="152">
        <v>0.0</v>
      </c>
      <c r="N34" s="152">
        <f t="shared" si="6"/>
        <v>0</v>
      </c>
      <c r="O34" s="152">
        <f t="shared" si="7"/>
        <v>0</v>
      </c>
      <c r="P34" s="114" t="s">
        <v>308</v>
      </c>
      <c r="Q34" s="4"/>
      <c r="R34" s="4"/>
      <c r="S34" s="4"/>
      <c r="T34" s="4"/>
      <c r="U34" s="4"/>
      <c r="V34" s="4"/>
      <c r="W34" s="4"/>
      <c r="X34" s="4"/>
      <c r="Y34" s="4"/>
      <c r="Z34" s="4"/>
    </row>
    <row r="35" ht="15.75" hidden="1" customHeight="1" outlineLevel="1">
      <c r="A35" s="94" t="s">
        <v>309</v>
      </c>
      <c r="B35" s="95">
        <v>0.0</v>
      </c>
      <c r="C35" s="95">
        <v>0.0</v>
      </c>
      <c r="D35" s="95">
        <v>0.0</v>
      </c>
      <c r="E35" s="95">
        <v>0.0</v>
      </c>
      <c r="F35" s="95">
        <v>0.0</v>
      </c>
      <c r="G35" s="95">
        <v>0.0</v>
      </c>
      <c r="H35" s="95">
        <v>0.0</v>
      </c>
      <c r="I35" s="95">
        <v>0.0</v>
      </c>
      <c r="J35" s="95">
        <v>0.0</v>
      </c>
      <c r="K35" s="95">
        <v>0.0</v>
      </c>
      <c r="L35" s="95">
        <v>0.0</v>
      </c>
      <c r="M35" s="95">
        <v>0.0</v>
      </c>
      <c r="N35" s="95">
        <f t="shared" si="6"/>
        <v>0</v>
      </c>
      <c r="O35" s="95">
        <f t="shared" si="7"/>
        <v>0</v>
      </c>
      <c r="P35" s="84" t="s">
        <v>310</v>
      </c>
      <c r="Q35" s="4"/>
      <c r="R35" s="4"/>
      <c r="S35" s="4"/>
      <c r="T35" s="4"/>
      <c r="U35" s="4"/>
      <c r="V35" s="4"/>
      <c r="W35" s="4"/>
      <c r="X35" s="4"/>
      <c r="Y35" s="4"/>
      <c r="Z35" s="4"/>
    </row>
    <row r="36" ht="15.75" hidden="1" customHeight="1" outlineLevel="1">
      <c r="A36" s="151" t="s">
        <v>311</v>
      </c>
      <c r="B36" s="152">
        <v>0.0</v>
      </c>
      <c r="C36" s="152">
        <v>0.0</v>
      </c>
      <c r="D36" s="152">
        <v>0.0</v>
      </c>
      <c r="E36" s="152">
        <v>0.0</v>
      </c>
      <c r="F36" s="152">
        <v>0.0</v>
      </c>
      <c r="G36" s="152">
        <v>0.0</v>
      </c>
      <c r="H36" s="152">
        <v>0.0</v>
      </c>
      <c r="I36" s="152">
        <v>0.0</v>
      </c>
      <c r="J36" s="152">
        <v>0.0</v>
      </c>
      <c r="K36" s="152">
        <v>0.0</v>
      </c>
      <c r="L36" s="152">
        <v>0.0</v>
      </c>
      <c r="M36" s="152">
        <v>0.0</v>
      </c>
      <c r="N36" s="152">
        <f t="shared" si="6"/>
        <v>0</v>
      </c>
      <c r="O36" s="152">
        <f t="shared" si="7"/>
        <v>0</v>
      </c>
      <c r="P36" s="114" t="s">
        <v>312</v>
      </c>
      <c r="Q36" s="4"/>
      <c r="R36" s="4"/>
      <c r="S36" s="4"/>
      <c r="T36" s="4"/>
      <c r="U36" s="4"/>
      <c r="V36" s="4"/>
      <c r="W36" s="4"/>
      <c r="X36" s="4"/>
      <c r="Y36" s="4"/>
      <c r="Z36" s="4"/>
    </row>
    <row r="37" ht="15.75" hidden="1" customHeight="1" outlineLevel="1">
      <c r="A37" s="94" t="s">
        <v>313</v>
      </c>
      <c r="B37" s="95">
        <v>0.0</v>
      </c>
      <c r="C37" s="95">
        <v>0.0</v>
      </c>
      <c r="D37" s="95">
        <v>0.0</v>
      </c>
      <c r="E37" s="95">
        <v>0.0</v>
      </c>
      <c r="F37" s="95">
        <v>0.0</v>
      </c>
      <c r="G37" s="95">
        <v>0.0</v>
      </c>
      <c r="H37" s="95">
        <v>0.0</v>
      </c>
      <c r="I37" s="95">
        <v>0.0</v>
      </c>
      <c r="J37" s="95">
        <v>0.0</v>
      </c>
      <c r="K37" s="95">
        <v>0.0</v>
      </c>
      <c r="L37" s="95">
        <v>0.0</v>
      </c>
      <c r="M37" s="95">
        <v>0.0</v>
      </c>
      <c r="N37" s="95">
        <f t="shared" si="6"/>
        <v>0</v>
      </c>
      <c r="O37" s="95">
        <f t="shared" si="7"/>
        <v>0</v>
      </c>
      <c r="P37" s="84" t="s">
        <v>314</v>
      </c>
      <c r="Q37" s="4"/>
      <c r="R37" s="4"/>
      <c r="S37" s="4"/>
      <c r="T37" s="4"/>
      <c r="U37" s="4"/>
      <c r="V37" s="4"/>
      <c r="W37" s="4"/>
      <c r="X37" s="4"/>
      <c r="Y37" s="4"/>
      <c r="Z37" s="4"/>
    </row>
    <row r="38" ht="15.75" hidden="1" customHeight="1" outlineLevel="1">
      <c r="A38" s="151" t="s">
        <v>315</v>
      </c>
      <c r="B38" s="152">
        <v>0.0</v>
      </c>
      <c r="C38" s="152">
        <v>0.0</v>
      </c>
      <c r="D38" s="152">
        <v>0.0</v>
      </c>
      <c r="E38" s="152">
        <v>0.0</v>
      </c>
      <c r="F38" s="152">
        <v>0.0</v>
      </c>
      <c r="G38" s="152">
        <v>0.0</v>
      </c>
      <c r="H38" s="152">
        <v>0.0</v>
      </c>
      <c r="I38" s="152">
        <v>0.0</v>
      </c>
      <c r="J38" s="152">
        <v>0.0</v>
      </c>
      <c r="K38" s="152">
        <v>0.0</v>
      </c>
      <c r="L38" s="152">
        <v>0.0</v>
      </c>
      <c r="M38" s="152">
        <v>0.0</v>
      </c>
      <c r="N38" s="152">
        <f t="shared" si="6"/>
        <v>0</v>
      </c>
      <c r="O38" s="152">
        <f t="shared" si="7"/>
        <v>0</v>
      </c>
      <c r="P38" s="114" t="s">
        <v>316</v>
      </c>
      <c r="Q38" s="4"/>
      <c r="R38" s="4"/>
      <c r="S38" s="4"/>
      <c r="T38" s="4"/>
      <c r="U38" s="4"/>
      <c r="V38" s="4"/>
      <c r="W38" s="4"/>
      <c r="X38" s="4"/>
      <c r="Y38" s="4"/>
      <c r="Z38" s="4"/>
    </row>
    <row r="39" ht="15.75" hidden="1" customHeight="1" outlineLevel="1">
      <c r="A39" s="75" t="s">
        <v>317</v>
      </c>
      <c r="B39" s="153"/>
      <c r="C39" s="153"/>
      <c r="D39" s="153"/>
      <c r="E39" s="153"/>
      <c r="F39" s="153"/>
      <c r="G39" s="153"/>
      <c r="H39" s="153"/>
      <c r="I39" s="153"/>
      <c r="J39" s="153"/>
      <c r="K39" s="153"/>
      <c r="L39" s="153"/>
      <c r="M39" s="153"/>
      <c r="N39" s="154">
        <v>261731.0</v>
      </c>
      <c r="O39" s="26"/>
      <c r="P39" s="142" t="s">
        <v>318</v>
      </c>
      <c r="Q39" s="4"/>
      <c r="R39" s="4"/>
      <c r="S39" s="4"/>
      <c r="T39" s="4"/>
      <c r="U39" s="4"/>
      <c r="V39" s="4"/>
      <c r="W39" s="4"/>
      <c r="X39" s="4"/>
      <c r="Y39" s="4"/>
      <c r="Z39" s="4"/>
    </row>
    <row r="40" ht="15.75" hidden="1" customHeight="1" outlineLevel="1">
      <c r="A40" s="30" t="s">
        <v>319</v>
      </c>
      <c r="B40" s="32"/>
      <c r="C40" s="32"/>
      <c r="D40" s="32"/>
      <c r="E40" s="32"/>
      <c r="F40" s="32">
        <v>20000.0</v>
      </c>
      <c r="G40" s="32">
        <v>20000.0</v>
      </c>
      <c r="H40" s="32">
        <v>20000.0</v>
      </c>
      <c r="I40" s="32">
        <v>20000.0</v>
      </c>
      <c r="J40" s="32">
        <v>20000.0</v>
      </c>
      <c r="K40" s="32">
        <v>20000.0</v>
      </c>
      <c r="L40" s="32">
        <v>20000.0</v>
      </c>
      <c r="M40" s="32">
        <v>20000.0</v>
      </c>
      <c r="N40" s="116">
        <f t="shared" ref="N40:N49" si="8">SUM(B40:M40)</f>
        <v>160000</v>
      </c>
      <c r="O40" s="32">
        <f t="shared" ref="O40:O43" si="9">N40/12</f>
        <v>13333.33333</v>
      </c>
      <c r="P40" s="84" t="s">
        <v>320</v>
      </c>
      <c r="Q40" s="4"/>
      <c r="R40" s="4"/>
      <c r="S40" s="4"/>
      <c r="T40" s="4"/>
      <c r="U40" s="4"/>
      <c r="V40" s="4"/>
      <c r="W40" s="4"/>
      <c r="X40" s="4"/>
      <c r="Y40" s="4"/>
      <c r="Z40" s="4"/>
    </row>
    <row r="41" ht="15.75" hidden="1" customHeight="1" outlineLevel="1">
      <c r="A41" s="30" t="s">
        <v>321</v>
      </c>
      <c r="B41" s="32"/>
      <c r="C41" s="32"/>
      <c r="D41" s="32"/>
      <c r="E41" s="32"/>
      <c r="F41" s="32">
        <v>20000.0</v>
      </c>
      <c r="G41" s="32">
        <v>20000.0</v>
      </c>
      <c r="H41" s="32">
        <v>20000.0</v>
      </c>
      <c r="I41" s="32">
        <v>20000.0</v>
      </c>
      <c r="J41" s="32">
        <v>20000.0</v>
      </c>
      <c r="K41" s="32">
        <v>20000.0</v>
      </c>
      <c r="L41" s="32">
        <v>20000.0</v>
      </c>
      <c r="M41" s="32">
        <v>20000.0</v>
      </c>
      <c r="N41" s="116">
        <f t="shared" si="8"/>
        <v>160000</v>
      </c>
      <c r="O41" s="32">
        <f t="shared" si="9"/>
        <v>13333.33333</v>
      </c>
      <c r="P41" s="84" t="s">
        <v>320</v>
      </c>
      <c r="Q41" s="4"/>
      <c r="R41" s="4"/>
      <c r="S41" s="4"/>
      <c r="T41" s="4"/>
      <c r="U41" s="4"/>
      <c r="V41" s="4"/>
      <c r="W41" s="4"/>
      <c r="X41" s="4"/>
      <c r="Y41" s="4"/>
      <c r="Z41" s="4"/>
    </row>
    <row r="42" ht="15.75" hidden="1" customHeight="1" outlineLevel="1">
      <c r="A42" s="30" t="s">
        <v>322</v>
      </c>
      <c r="B42" s="32"/>
      <c r="C42" s="32"/>
      <c r="D42" s="32"/>
      <c r="E42" s="32"/>
      <c r="F42" s="32">
        <v>20000.0</v>
      </c>
      <c r="G42" s="32">
        <v>20000.0</v>
      </c>
      <c r="H42" s="32">
        <v>20000.0</v>
      </c>
      <c r="I42" s="32">
        <v>20000.0</v>
      </c>
      <c r="J42" s="32">
        <v>20000.0</v>
      </c>
      <c r="K42" s="32">
        <v>20000.0</v>
      </c>
      <c r="L42" s="32">
        <v>20000.0</v>
      </c>
      <c r="M42" s="32">
        <v>20000.0</v>
      </c>
      <c r="N42" s="116">
        <f t="shared" si="8"/>
        <v>160000</v>
      </c>
      <c r="O42" s="32">
        <f t="shared" si="9"/>
        <v>13333.33333</v>
      </c>
      <c r="P42" s="84" t="s">
        <v>320</v>
      </c>
      <c r="Q42" s="4"/>
      <c r="R42" s="4"/>
      <c r="S42" s="4"/>
      <c r="T42" s="4"/>
      <c r="U42" s="4"/>
      <c r="V42" s="4"/>
      <c r="W42" s="4"/>
      <c r="X42" s="4"/>
      <c r="Y42" s="4"/>
      <c r="Z42" s="4"/>
    </row>
    <row r="43" ht="15.75" hidden="1" customHeight="1" outlineLevel="1">
      <c r="A43" s="30" t="s">
        <v>323</v>
      </c>
      <c r="B43" s="32"/>
      <c r="C43" s="32"/>
      <c r="D43" s="32">
        <v>5000.0</v>
      </c>
      <c r="E43" s="32">
        <v>5000.0</v>
      </c>
      <c r="F43" s="32">
        <v>5000.0</v>
      </c>
      <c r="G43" s="32">
        <v>5000.0</v>
      </c>
      <c r="H43" s="32">
        <v>5000.0</v>
      </c>
      <c r="I43" s="32">
        <v>5000.0</v>
      </c>
      <c r="J43" s="32">
        <v>5000.0</v>
      </c>
      <c r="K43" s="32">
        <v>5000.0</v>
      </c>
      <c r="L43" s="32">
        <v>5000.0</v>
      </c>
      <c r="M43" s="32">
        <v>5000.0</v>
      </c>
      <c r="N43" s="116">
        <f t="shared" si="8"/>
        <v>50000</v>
      </c>
      <c r="O43" s="32">
        <f t="shared" si="9"/>
        <v>4166.666667</v>
      </c>
      <c r="P43" s="84" t="s">
        <v>320</v>
      </c>
      <c r="Q43" s="4"/>
      <c r="R43" s="4"/>
      <c r="S43" s="4"/>
      <c r="T43" s="4"/>
      <c r="U43" s="4"/>
      <c r="V43" s="4"/>
      <c r="W43" s="4"/>
      <c r="X43" s="4"/>
      <c r="Y43" s="4"/>
      <c r="Z43" s="4"/>
    </row>
    <row r="44" ht="15.75" hidden="1" customHeight="1" outlineLevel="1">
      <c r="A44" s="30" t="s">
        <v>324</v>
      </c>
      <c r="B44" s="32"/>
      <c r="C44" s="32"/>
      <c r="D44" s="32">
        <v>5000.0</v>
      </c>
      <c r="E44" s="32"/>
      <c r="F44" s="32"/>
      <c r="G44" s="32"/>
      <c r="H44" s="32"/>
      <c r="I44" s="32"/>
      <c r="J44" s="32"/>
      <c r="K44" s="32"/>
      <c r="L44" s="32"/>
      <c r="M44" s="32"/>
      <c r="N44" s="116">
        <f t="shared" si="8"/>
        <v>5000</v>
      </c>
      <c r="O44" s="32"/>
      <c r="P44" s="84"/>
      <c r="Q44" s="4"/>
      <c r="R44" s="4"/>
      <c r="S44" s="4"/>
      <c r="T44" s="4"/>
      <c r="U44" s="4"/>
      <c r="V44" s="4"/>
      <c r="W44" s="4"/>
      <c r="X44" s="4"/>
      <c r="Y44" s="4"/>
      <c r="Z44" s="4"/>
    </row>
    <row r="45" ht="15.75" hidden="1" customHeight="1" outlineLevel="1">
      <c r="A45" s="155" t="s">
        <v>325</v>
      </c>
      <c r="B45" s="32"/>
      <c r="C45" s="32"/>
      <c r="D45" s="32"/>
      <c r="E45" s="32"/>
      <c r="F45" s="32"/>
      <c r="G45" s="32"/>
      <c r="H45" s="32"/>
      <c r="I45" s="32"/>
      <c r="J45" s="32"/>
      <c r="K45" s="32"/>
      <c r="L45" s="32"/>
      <c r="M45" s="32"/>
      <c r="N45" s="116">
        <f t="shared" si="8"/>
        <v>0</v>
      </c>
      <c r="O45" s="32">
        <f t="shared" ref="O45:O49" si="10">N45/12</f>
        <v>0</v>
      </c>
      <c r="P45" s="84"/>
      <c r="Q45" s="4"/>
      <c r="R45" s="4"/>
      <c r="S45" s="4"/>
      <c r="T45" s="4"/>
      <c r="U45" s="4"/>
      <c r="V45" s="4"/>
      <c r="W45" s="4"/>
      <c r="X45" s="4"/>
      <c r="Y45" s="4"/>
      <c r="Z45" s="4"/>
    </row>
    <row r="46" ht="15.75" hidden="1" customHeight="1" outlineLevel="1">
      <c r="A46" s="30" t="s">
        <v>326</v>
      </c>
      <c r="B46" s="32"/>
      <c r="C46" s="32"/>
      <c r="D46" s="32">
        <v>2000.0</v>
      </c>
      <c r="E46" s="32">
        <v>2000.0</v>
      </c>
      <c r="F46" s="32">
        <v>2000.0</v>
      </c>
      <c r="G46" s="32">
        <v>2000.0</v>
      </c>
      <c r="H46" s="32">
        <v>2000.0</v>
      </c>
      <c r="I46" s="32">
        <v>2000.0</v>
      </c>
      <c r="J46" s="32">
        <v>2000.0</v>
      </c>
      <c r="K46" s="32">
        <v>2000.0</v>
      </c>
      <c r="L46" s="32">
        <v>2000.0</v>
      </c>
      <c r="M46" s="32">
        <v>2000.0</v>
      </c>
      <c r="N46" s="116">
        <f t="shared" si="8"/>
        <v>20000</v>
      </c>
      <c r="O46" s="32">
        <f t="shared" si="10"/>
        <v>1666.666667</v>
      </c>
      <c r="P46" s="84" t="s">
        <v>327</v>
      </c>
      <c r="Q46" s="4"/>
      <c r="R46" s="4"/>
      <c r="S46" s="4"/>
      <c r="T46" s="4"/>
      <c r="U46" s="4"/>
      <c r="V46" s="4"/>
      <c r="W46" s="4"/>
      <c r="X46" s="4"/>
      <c r="Y46" s="4"/>
      <c r="Z46" s="4"/>
    </row>
    <row r="47" ht="15.75" hidden="1" customHeight="1" outlineLevel="1">
      <c r="A47" s="30" t="s">
        <v>324</v>
      </c>
      <c r="B47" s="32"/>
      <c r="C47" s="32"/>
      <c r="D47" s="32"/>
      <c r="E47" s="32">
        <v>1000.0</v>
      </c>
      <c r="F47" s="32">
        <v>1000.0</v>
      </c>
      <c r="G47" s="32">
        <v>1000.0</v>
      </c>
      <c r="H47" s="32">
        <v>1000.0</v>
      </c>
      <c r="I47" s="32">
        <v>1000.0</v>
      </c>
      <c r="J47" s="32">
        <v>1000.0</v>
      </c>
      <c r="K47" s="32">
        <v>1000.0</v>
      </c>
      <c r="L47" s="32">
        <v>1000.0</v>
      </c>
      <c r="M47" s="32">
        <v>1000.0</v>
      </c>
      <c r="N47" s="116">
        <f t="shared" si="8"/>
        <v>9000</v>
      </c>
      <c r="O47" s="32">
        <f t="shared" si="10"/>
        <v>750</v>
      </c>
      <c r="P47" s="84" t="s">
        <v>327</v>
      </c>
      <c r="Q47" s="4"/>
      <c r="R47" s="4"/>
      <c r="S47" s="4"/>
      <c r="T47" s="4"/>
      <c r="U47" s="4"/>
      <c r="V47" s="4"/>
      <c r="W47" s="4"/>
      <c r="X47" s="4"/>
      <c r="Y47" s="4"/>
      <c r="Z47" s="4"/>
    </row>
    <row r="48" ht="15.75" hidden="1" customHeight="1" outlineLevel="1">
      <c r="A48" s="30"/>
      <c r="B48" s="32"/>
      <c r="C48" s="32"/>
      <c r="D48" s="32"/>
      <c r="E48" s="32"/>
      <c r="F48" s="32"/>
      <c r="G48" s="32"/>
      <c r="H48" s="32"/>
      <c r="I48" s="32"/>
      <c r="J48" s="32"/>
      <c r="K48" s="32"/>
      <c r="L48" s="32"/>
      <c r="M48" s="32"/>
      <c r="N48" s="116">
        <f t="shared" si="8"/>
        <v>0</v>
      </c>
      <c r="O48" s="32">
        <f t="shared" si="10"/>
        <v>0</v>
      </c>
      <c r="P48" s="84"/>
      <c r="Q48" s="4"/>
      <c r="R48" s="4"/>
      <c r="S48" s="4"/>
      <c r="T48" s="4"/>
      <c r="U48" s="4"/>
      <c r="V48" s="4"/>
      <c r="W48" s="4"/>
      <c r="X48" s="4"/>
      <c r="Y48" s="4"/>
      <c r="Z48" s="4"/>
    </row>
    <row r="49" ht="15.75" hidden="1" customHeight="1" outlineLevel="1">
      <c r="A49" s="30"/>
      <c r="B49" s="32"/>
      <c r="C49" s="32"/>
      <c r="D49" s="32"/>
      <c r="E49" s="32"/>
      <c r="F49" s="32"/>
      <c r="G49" s="32"/>
      <c r="H49" s="32"/>
      <c r="I49" s="32"/>
      <c r="J49" s="32"/>
      <c r="K49" s="32"/>
      <c r="L49" s="32"/>
      <c r="M49" s="32"/>
      <c r="N49" s="116">
        <f t="shared" si="8"/>
        <v>0</v>
      </c>
      <c r="O49" s="32">
        <f t="shared" si="10"/>
        <v>0</v>
      </c>
      <c r="P49" s="84"/>
      <c r="Q49" s="4"/>
      <c r="R49" s="4"/>
      <c r="S49" s="4"/>
      <c r="T49" s="4"/>
      <c r="U49" s="4"/>
      <c r="V49" s="4"/>
      <c r="W49" s="4"/>
      <c r="X49" s="4"/>
      <c r="Y49" s="4"/>
      <c r="Z49" s="4"/>
    </row>
    <row r="50" ht="15.75" hidden="1" customHeight="1" outlineLevel="1">
      <c r="A50" s="30"/>
      <c r="B50" s="32"/>
      <c r="C50" s="32"/>
      <c r="D50" s="32"/>
      <c r="E50" s="32"/>
      <c r="F50" s="32"/>
      <c r="G50" s="32"/>
      <c r="H50" s="32"/>
      <c r="I50" s="32"/>
      <c r="J50" s="32"/>
      <c r="K50" s="32"/>
      <c r="L50" s="32"/>
      <c r="M50" s="32"/>
      <c r="N50" s="116"/>
      <c r="O50" s="32"/>
      <c r="P50" s="84"/>
      <c r="Q50" s="4"/>
      <c r="R50" s="4"/>
      <c r="S50" s="4"/>
      <c r="T50" s="4"/>
      <c r="U50" s="4"/>
      <c r="V50" s="4"/>
      <c r="W50" s="4"/>
      <c r="X50" s="4"/>
      <c r="Y50" s="4"/>
      <c r="Z50" s="4"/>
    </row>
    <row r="51" ht="19.5" customHeight="1" collapsed="1">
      <c r="A51" s="86"/>
      <c r="B51" s="148"/>
      <c r="C51" s="148"/>
      <c r="D51" s="148"/>
      <c r="E51" s="148"/>
      <c r="F51" s="148"/>
      <c r="G51" s="148"/>
      <c r="H51" s="148"/>
      <c r="I51" s="148"/>
      <c r="J51" s="148"/>
      <c r="K51" s="148"/>
      <c r="L51" s="148"/>
      <c r="M51" s="148"/>
      <c r="N51" s="87">
        <f t="shared" ref="N51:O51" si="11">SUM(N40:N49)</f>
        <v>564000</v>
      </c>
      <c r="O51" s="148">
        <f t="shared" si="11"/>
        <v>46583.33333</v>
      </c>
      <c r="P51" s="149"/>
      <c r="Q51" s="4"/>
      <c r="R51" s="4"/>
      <c r="S51" s="4"/>
      <c r="T51" s="4"/>
      <c r="U51" s="4"/>
      <c r="V51" s="4"/>
      <c r="W51" s="4"/>
      <c r="X51" s="4"/>
      <c r="Y51" s="4"/>
      <c r="Z51" s="4"/>
    </row>
    <row r="52" ht="19.5" customHeight="1">
      <c r="A52" s="11" t="s">
        <v>328</v>
      </c>
      <c r="B52" s="11"/>
      <c r="C52" s="11"/>
      <c r="D52" s="11"/>
      <c r="E52" s="11"/>
      <c r="F52" s="11"/>
      <c r="G52" s="11"/>
      <c r="H52" s="11"/>
      <c r="I52" s="11"/>
      <c r="J52" s="11"/>
      <c r="K52" s="11"/>
      <c r="L52" s="11"/>
      <c r="M52" s="11"/>
      <c r="N52" s="11"/>
      <c r="O52" s="11"/>
      <c r="P52" s="11"/>
      <c r="Q52" s="4"/>
      <c r="R52" s="4"/>
      <c r="S52" s="4"/>
      <c r="T52" s="4"/>
      <c r="U52" s="4"/>
      <c r="V52" s="4"/>
      <c r="W52" s="4"/>
      <c r="X52" s="4"/>
      <c r="Y52" s="4"/>
      <c r="Z52" s="4"/>
    </row>
    <row r="53" ht="15.75" hidden="1" customHeight="1" outlineLevel="1">
      <c r="A53" s="25" t="s">
        <v>329</v>
      </c>
      <c r="B53" s="28"/>
      <c r="C53" s="28"/>
      <c r="D53" s="28"/>
      <c r="E53" s="28"/>
      <c r="F53" s="28"/>
      <c r="G53" s="28"/>
      <c r="H53" s="28"/>
      <c r="I53" s="28"/>
      <c r="J53" s="28"/>
      <c r="K53" s="28"/>
      <c r="L53" s="28"/>
      <c r="M53" s="28"/>
      <c r="N53" s="113"/>
      <c r="O53" s="28"/>
      <c r="P53" s="114"/>
      <c r="Q53" s="4"/>
      <c r="R53" s="4"/>
      <c r="S53" s="4"/>
      <c r="T53" s="4"/>
      <c r="U53" s="4"/>
      <c r="V53" s="4"/>
      <c r="W53" s="4"/>
      <c r="X53" s="4"/>
      <c r="Y53" s="4"/>
      <c r="Z53" s="4"/>
    </row>
    <row r="54" ht="15.75" hidden="1" customHeight="1" outlineLevel="1">
      <c r="A54" s="27" t="s">
        <v>330</v>
      </c>
      <c r="B54" s="28">
        <v>2000.0</v>
      </c>
      <c r="C54" s="28">
        <v>2000.0</v>
      </c>
      <c r="D54" s="28">
        <v>2000.0</v>
      </c>
      <c r="E54" s="28">
        <v>2000.0</v>
      </c>
      <c r="F54" s="28">
        <v>2000.0</v>
      </c>
      <c r="G54" s="28">
        <v>2000.0</v>
      </c>
      <c r="H54" s="28">
        <v>2000.0</v>
      </c>
      <c r="I54" s="28">
        <v>2000.0</v>
      </c>
      <c r="J54" s="28">
        <v>2000.0</v>
      </c>
      <c r="K54" s="28">
        <v>2000.0</v>
      </c>
      <c r="L54" s="28">
        <v>2000.0</v>
      </c>
      <c r="M54" s="28">
        <v>2000.0</v>
      </c>
      <c r="N54" s="113">
        <f t="shared" ref="N54:N58" si="12">SUM(B54:M54)</f>
        <v>24000</v>
      </c>
      <c r="O54" s="28">
        <f t="shared" ref="O54:O58" si="13">N54/12</f>
        <v>2000</v>
      </c>
      <c r="P54" s="114" t="s">
        <v>331</v>
      </c>
      <c r="Q54" s="4"/>
      <c r="R54" s="4"/>
      <c r="S54" s="4"/>
      <c r="T54" s="4"/>
      <c r="U54" s="4"/>
      <c r="V54" s="4"/>
      <c r="W54" s="4"/>
      <c r="X54" s="4"/>
      <c r="Y54" s="4"/>
      <c r="Z54" s="4"/>
    </row>
    <row r="55" ht="15.75" hidden="1" customHeight="1" outlineLevel="1">
      <c r="A55" s="30" t="s">
        <v>332</v>
      </c>
      <c r="B55" s="32">
        <v>1000.0</v>
      </c>
      <c r="C55" s="32">
        <v>1000.0</v>
      </c>
      <c r="D55" s="32">
        <v>1000.0</v>
      </c>
      <c r="E55" s="32">
        <v>1000.0</v>
      </c>
      <c r="F55" s="32">
        <v>1000.0</v>
      </c>
      <c r="G55" s="32">
        <v>1000.0</v>
      </c>
      <c r="H55" s="32">
        <v>1000.0</v>
      </c>
      <c r="I55" s="32">
        <v>1000.0</v>
      </c>
      <c r="J55" s="32">
        <v>1000.0</v>
      </c>
      <c r="K55" s="32">
        <v>1000.0</v>
      </c>
      <c r="L55" s="32">
        <v>1000.0</v>
      </c>
      <c r="M55" s="32">
        <v>1000.0</v>
      </c>
      <c r="N55" s="116">
        <f t="shared" si="12"/>
        <v>12000</v>
      </c>
      <c r="O55" s="32">
        <f t="shared" si="13"/>
        <v>1000</v>
      </c>
      <c r="P55" s="84" t="s">
        <v>333</v>
      </c>
      <c r="Q55" s="4"/>
      <c r="R55" s="4"/>
      <c r="S55" s="4"/>
      <c r="T55" s="4"/>
      <c r="U55" s="4"/>
      <c r="V55" s="4"/>
      <c r="W55" s="4"/>
      <c r="X55" s="4"/>
      <c r="Y55" s="4"/>
      <c r="Z55" s="4"/>
    </row>
    <row r="56" ht="15.75" hidden="1" customHeight="1" outlineLevel="1">
      <c r="A56" s="27" t="s">
        <v>334</v>
      </c>
      <c r="B56" s="29">
        <v>820.0</v>
      </c>
      <c r="C56" s="29">
        <v>500.0</v>
      </c>
      <c r="D56" s="28">
        <v>500.0</v>
      </c>
      <c r="E56" s="28">
        <v>500.0</v>
      </c>
      <c r="F56" s="28">
        <v>500.0</v>
      </c>
      <c r="G56" s="28">
        <v>500.0</v>
      </c>
      <c r="H56" s="28">
        <v>500.0</v>
      </c>
      <c r="I56" s="28">
        <v>500.0</v>
      </c>
      <c r="J56" s="28">
        <v>500.0</v>
      </c>
      <c r="K56" s="28">
        <v>500.0</v>
      </c>
      <c r="L56" s="28">
        <v>500.0</v>
      </c>
      <c r="M56" s="28">
        <v>500.0</v>
      </c>
      <c r="N56" s="113">
        <f t="shared" si="12"/>
        <v>6320</v>
      </c>
      <c r="O56" s="28">
        <f t="shared" si="13"/>
        <v>526.6666667</v>
      </c>
      <c r="P56" s="114" t="s">
        <v>333</v>
      </c>
      <c r="Q56" s="4"/>
      <c r="R56" s="4"/>
      <c r="S56" s="4"/>
      <c r="T56" s="4"/>
      <c r="U56" s="4"/>
      <c r="V56" s="4"/>
      <c r="W56" s="4"/>
      <c r="X56" s="4"/>
      <c r="Y56" s="4"/>
      <c r="Z56" s="4"/>
    </row>
    <row r="57" ht="19.5" hidden="1" customHeight="1" outlineLevel="1">
      <c r="A57" s="27" t="s">
        <v>335</v>
      </c>
      <c r="B57" s="156">
        <v>200.0</v>
      </c>
      <c r="C57" s="156">
        <v>50.0</v>
      </c>
      <c r="D57" s="156">
        <v>50.0</v>
      </c>
      <c r="E57" s="156">
        <v>50.0</v>
      </c>
      <c r="F57" s="153"/>
      <c r="G57" s="153"/>
      <c r="H57" s="153"/>
      <c r="I57" s="153"/>
      <c r="J57" s="153"/>
      <c r="K57" s="153"/>
      <c r="L57" s="153"/>
      <c r="M57" s="153"/>
      <c r="N57" s="113">
        <f t="shared" si="12"/>
        <v>350</v>
      </c>
      <c r="O57" s="28">
        <f t="shared" si="13"/>
        <v>29.16666667</v>
      </c>
      <c r="P57" s="114" t="s">
        <v>333</v>
      </c>
      <c r="Q57" s="4"/>
      <c r="R57" s="4"/>
      <c r="S57" s="4"/>
      <c r="T57" s="4"/>
      <c r="U57" s="4"/>
      <c r="V57" s="4"/>
      <c r="W57" s="4"/>
      <c r="X57" s="4"/>
      <c r="Y57" s="4"/>
      <c r="Z57" s="4"/>
    </row>
    <row r="58" ht="19.5" customHeight="1" collapsed="1">
      <c r="A58" s="25" t="s">
        <v>336</v>
      </c>
      <c r="B58" s="153">
        <f t="shared" ref="B58:M58" si="14">SUM(B54:B57)</f>
        <v>4020</v>
      </c>
      <c r="C58" s="153">
        <f t="shared" si="14"/>
        <v>3550</v>
      </c>
      <c r="D58" s="153">
        <f t="shared" si="14"/>
        <v>3550</v>
      </c>
      <c r="E58" s="153">
        <f t="shared" si="14"/>
        <v>3550</v>
      </c>
      <c r="F58" s="153">
        <f t="shared" si="14"/>
        <v>3500</v>
      </c>
      <c r="G58" s="153">
        <f t="shared" si="14"/>
        <v>3500</v>
      </c>
      <c r="H58" s="153">
        <f t="shared" si="14"/>
        <v>3500</v>
      </c>
      <c r="I58" s="153">
        <f t="shared" si="14"/>
        <v>3500</v>
      </c>
      <c r="J58" s="153">
        <f t="shared" si="14"/>
        <v>3500</v>
      </c>
      <c r="K58" s="153">
        <f t="shared" si="14"/>
        <v>3500</v>
      </c>
      <c r="L58" s="153">
        <f t="shared" si="14"/>
        <v>3500</v>
      </c>
      <c r="M58" s="153">
        <f t="shared" si="14"/>
        <v>3500</v>
      </c>
      <c r="N58" s="55">
        <f t="shared" si="12"/>
        <v>42670</v>
      </c>
      <c r="O58" s="153">
        <f t="shared" si="13"/>
        <v>3555.833333</v>
      </c>
      <c r="P58" s="142" t="s">
        <v>337</v>
      </c>
      <c r="Q58" s="4"/>
      <c r="R58" s="4"/>
      <c r="S58" s="4"/>
      <c r="T58" s="4"/>
      <c r="U58" s="4"/>
      <c r="V58" s="4"/>
      <c r="W58" s="4"/>
      <c r="X58" s="4"/>
      <c r="Y58" s="4"/>
      <c r="Z58" s="4"/>
    </row>
    <row r="59" ht="15.75" customHeight="1" outlineLevel="1">
      <c r="A59" s="157" t="s">
        <v>338</v>
      </c>
      <c r="B59" s="158"/>
      <c r="C59" s="158"/>
      <c r="D59" s="158"/>
      <c r="E59" s="158"/>
      <c r="F59" s="158"/>
      <c r="G59" s="158"/>
      <c r="H59" s="158"/>
      <c r="I59" s="158"/>
      <c r="J59" s="158"/>
      <c r="K59" s="158"/>
      <c r="L59" s="158"/>
      <c r="M59" s="158"/>
      <c r="N59" s="159"/>
      <c r="O59" s="158"/>
      <c r="P59" s="84"/>
      <c r="Q59" s="160"/>
      <c r="R59" s="160"/>
      <c r="S59" s="160"/>
      <c r="T59" s="160"/>
      <c r="U59" s="160"/>
      <c r="V59" s="160"/>
      <c r="W59" s="160"/>
      <c r="X59" s="160"/>
      <c r="Y59" s="160"/>
      <c r="Z59" s="160"/>
    </row>
    <row r="60" ht="15.75" customHeight="1" outlineLevel="1">
      <c r="A60" s="161" t="s">
        <v>339</v>
      </c>
      <c r="B60" s="158">
        <v>90.0</v>
      </c>
      <c r="C60" s="158">
        <v>90.0</v>
      </c>
      <c r="D60" s="158">
        <v>90.0</v>
      </c>
      <c r="E60" s="158">
        <v>90.0</v>
      </c>
      <c r="F60" s="158">
        <v>90.0</v>
      </c>
      <c r="G60" s="158">
        <v>90.0</v>
      </c>
      <c r="H60" s="158">
        <v>90.0</v>
      </c>
      <c r="I60" s="158">
        <v>90.0</v>
      </c>
      <c r="J60" s="158">
        <v>90.0</v>
      </c>
      <c r="K60" s="158">
        <v>90.0</v>
      </c>
      <c r="L60" s="158">
        <v>90.0</v>
      </c>
      <c r="M60" s="158">
        <v>90.0</v>
      </c>
      <c r="N60" s="159">
        <f t="shared" ref="N60:N66" si="15">SUM(B60:M60)</f>
        <v>1080</v>
      </c>
      <c r="O60" s="158">
        <f t="shared" ref="O60:O66" si="16">N60/12</f>
        <v>90</v>
      </c>
      <c r="P60" s="84" t="s">
        <v>340</v>
      </c>
      <c r="Q60" s="160"/>
      <c r="R60" s="160"/>
      <c r="S60" s="160"/>
      <c r="T60" s="160"/>
      <c r="U60" s="160"/>
      <c r="V60" s="160"/>
      <c r="W60" s="160"/>
      <c r="X60" s="160"/>
      <c r="Y60" s="160"/>
      <c r="Z60" s="160"/>
    </row>
    <row r="61" ht="15.75" customHeight="1" outlineLevel="1">
      <c r="A61" s="162" t="s">
        <v>341</v>
      </c>
      <c r="B61" s="163">
        <v>31.99</v>
      </c>
      <c r="C61" s="163">
        <v>31.99</v>
      </c>
      <c r="D61" s="163">
        <v>31.99</v>
      </c>
      <c r="E61" s="163">
        <v>31.99</v>
      </c>
      <c r="F61" s="163">
        <v>31.99</v>
      </c>
      <c r="G61" s="163">
        <v>31.99</v>
      </c>
      <c r="H61" s="163">
        <v>31.99</v>
      </c>
      <c r="I61" s="163">
        <v>31.99</v>
      </c>
      <c r="J61" s="163">
        <v>31.99</v>
      </c>
      <c r="K61" s="163">
        <v>31.99</v>
      </c>
      <c r="L61" s="163">
        <v>31.99</v>
      </c>
      <c r="M61" s="163">
        <v>31.99</v>
      </c>
      <c r="N61" s="164">
        <f t="shared" si="15"/>
        <v>383.88</v>
      </c>
      <c r="O61" s="163">
        <f t="shared" si="16"/>
        <v>31.99</v>
      </c>
      <c r="P61" s="114" t="s">
        <v>340</v>
      </c>
      <c r="Q61" s="160"/>
      <c r="R61" s="160"/>
      <c r="S61" s="160"/>
      <c r="T61" s="160"/>
      <c r="U61" s="160"/>
      <c r="V61" s="160"/>
      <c r="W61" s="160"/>
      <c r="X61" s="160"/>
      <c r="Y61" s="160"/>
      <c r="Z61" s="160"/>
    </row>
    <row r="62" ht="15.75" customHeight="1" outlineLevel="1">
      <c r="A62" s="161" t="s">
        <v>342</v>
      </c>
      <c r="B62" s="165">
        <v>340.0</v>
      </c>
      <c r="C62" s="165">
        <v>340.0</v>
      </c>
      <c r="D62" s="165">
        <v>340.0</v>
      </c>
      <c r="E62" s="165">
        <v>340.0</v>
      </c>
      <c r="F62" s="165">
        <v>340.0</v>
      </c>
      <c r="G62" s="165">
        <v>340.0</v>
      </c>
      <c r="H62" s="165">
        <v>340.0</v>
      </c>
      <c r="I62" s="165">
        <v>340.0</v>
      </c>
      <c r="J62" s="165">
        <v>340.0</v>
      </c>
      <c r="K62" s="165">
        <v>340.0</v>
      </c>
      <c r="L62" s="165">
        <v>340.0</v>
      </c>
      <c r="M62" s="165">
        <v>340.0</v>
      </c>
      <c r="N62" s="159">
        <f t="shared" si="15"/>
        <v>4080</v>
      </c>
      <c r="O62" s="158">
        <f t="shared" si="16"/>
        <v>340</v>
      </c>
      <c r="P62" s="84" t="s">
        <v>340</v>
      </c>
      <c r="Q62" s="160"/>
      <c r="R62" s="160"/>
      <c r="S62" s="160"/>
      <c r="T62" s="160"/>
      <c r="U62" s="160"/>
      <c r="V62" s="160"/>
      <c r="W62" s="160"/>
      <c r="X62" s="160"/>
      <c r="Y62" s="160"/>
      <c r="Z62" s="160"/>
    </row>
    <row r="63" ht="15.75" customHeight="1" outlineLevel="1">
      <c r="A63" s="166" t="s">
        <v>343</v>
      </c>
      <c r="B63" s="158">
        <v>350.0</v>
      </c>
      <c r="C63" s="165">
        <v>690.0</v>
      </c>
      <c r="D63" s="165">
        <v>340.0</v>
      </c>
      <c r="E63" s="165">
        <v>340.0</v>
      </c>
      <c r="F63" s="165">
        <v>340.0</v>
      </c>
      <c r="G63" s="165">
        <v>340.0</v>
      </c>
      <c r="H63" s="165">
        <v>340.0</v>
      </c>
      <c r="I63" s="165">
        <v>340.0</v>
      </c>
      <c r="J63" s="165">
        <v>340.0</v>
      </c>
      <c r="K63" s="165">
        <v>340.0</v>
      </c>
      <c r="L63" s="165">
        <v>340.0</v>
      </c>
      <c r="M63" s="165">
        <v>340.0</v>
      </c>
      <c r="N63" s="159">
        <f t="shared" si="15"/>
        <v>4440</v>
      </c>
      <c r="O63" s="158">
        <f t="shared" si="16"/>
        <v>370</v>
      </c>
      <c r="P63" s="84" t="s">
        <v>340</v>
      </c>
      <c r="Q63" s="160"/>
      <c r="R63" s="160"/>
      <c r="S63" s="160"/>
      <c r="T63" s="160"/>
      <c r="U63" s="160"/>
      <c r="V63" s="160"/>
      <c r="W63" s="160"/>
      <c r="X63" s="160"/>
      <c r="Y63" s="160"/>
      <c r="Z63" s="160"/>
    </row>
    <row r="64" ht="15.75" customHeight="1" outlineLevel="1">
      <c r="A64" s="162" t="s">
        <v>344</v>
      </c>
      <c r="B64" s="163">
        <v>600.0</v>
      </c>
      <c r="C64" s="167">
        <v>50.0</v>
      </c>
      <c r="D64" s="167">
        <v>50.0</v>
      </c>
      <c r="E64" s="167">
        <v>50.0</v>
      </c>
      <c r="F64" s="167">
        <v>50.0</v>
      </c>
      <c r="G64" s="167">
        <v>50.0</v>
      </c>
      <c r="H64" s="167">
        <v>50.0</v>
      </c>
      <c r="I64" s="167">
        <v>50.0</v>
      </c>
      <c r="J64" s="167">
        <v>50.0</v>
      </c>
      <c r="K64" s="167">
        <v>50.0</v>
      </c>
      <c r="L64" s="167">
        <v>50.0</v>
      </c>
      <c r="M64" s="167">
        <v>50.0</v>
      </c>
      <c r="N64" s="164">
        <f t="shared" si="15"/>
        <v>1150</v>
      </c>
      <c r="O64" s="163">
        <f t="shared" si="16"/>
        <v>95.83333333</v>
      </c>
      <c r="P64" s="114" t="s">
        <v>345</v>
      </c>
      <c r="Q64" s="160"/>
      <c r="R64" s="160"/>
      <c r="S64" s="160"/>
      <c r="T64" s="160"/>
      <c r="U64" s="160"/>
      <c r="V64" s="160"/>
      <c r="W64" s="160"/>
      <c r="X64" s="160"/>
      <c r="Y64" s="160"/>
      <c r="Z64" s="160"/>
    </row>
    <row r="65" ht="15.75" customHeight="1" outlineLevel="1">
      <c r="A65" s="161" t="s">
        <v>346</v>
      </c>
      <c r="B65" s="158">
        <v>22.0</v>
      </c>
      <c r="C65" s="158">
        <v>22.0</v>
      </c>
      <c r="D65" s="158">
        <v>22.0</v>
      </c>
      <c r="E65" s="158">
        <v>22.0</v>
      </c>
      <c r="F65" s="158">
        <v>22.0</v>
      </c>
      <c r="G65" s="158">
        <v>22.0</v>
      </c>
      <c r="H65" s="158">
        <v>22.0</v>
      </c>
      <c r="I65" s="158">
        <v>22.0</v>
      </c>
      <c r="J65" s="158">
        <v>22.0</v>
      </c>
      <c r="K65" s="158">
        <v>22.0</v>
      </c>
      <c r="L65" s="158">
        <v>22.0</v>
      </c>
      <c r="M65" s="158">
        <v>22.0</v>
      </c>
      <c r="N65" s="159">
        <f t="shared" si="15"/>
        <v>264</v>
      </c>
      <c r="O65" s="158">
        <f t="shared" si="16"/>
        <v>22</v>
      </c>
      <c r="P65" s="84" t="s">
        <v>340</v>
      </c>
      <c r="Q65" s="160"/>
      <c r="R65" s="160"/>
      <c r="S65" s="160"/>
      <c r="T65" s="160"/>
      <c r="U65" s="160"/>
      <c r="V65" s="160"/>
      <c r="W65" s="160"/>
      <c r="X65" s="160"/>
      <c r="Y65" s="160"/>
      <c r="Z65" s="160"/>
    </row>
    <row r="66" ht="15.75" customHeight="1" outlineLevel="1">
      <c r="A66" s="162" t="s">
        <v>347</v>
      </c>
      <c r="B66" s="163">
        <v>30.0</v>
      </c>
      <c r="C66" s="163">
        <v>30.0</v>
      </c>
      <c r="D66" s="163">
        <v>30.0</v>
      </c>
      <c r="E66" s="163">
        <v>30.0</v>
      </c>
      <c r="F66" s="163">
        <v>30.0</v>
      </c>
      <c r="G66" s="163">
        <v>30.0</v>
      </c>
      <c r="H66" s="163">
        <v>30.0</v>
      </c>
      <c r="I66" s="163">
        <v>30.0</v>
      </c>
      <c r="J66" s="163">
        <v>30.0</v>
      </c>
      <c r="K66" s="163">
        <v>30.0</v>
      </c>
      <c r="L66" s="163">
        <v>30.0</v>
      </c>
      <c r="M66" s="163">
        <v>30.0</v>
      </c>
      <c r="N66" s="164">
        <f t="shared" si="15"/>
        <v>360</v>
      </c>
      <c r="O66" s="163">
        <f t="shared" si="16"/>
        <v>30</v>
      </c>
      <c r="P66" s="114" t="s">
        <v>340</v>
      </c>
      <c r="Q66" s="160"/>
      <c r="R66" s="160"/>
      <c r="S66" s="160"/>
      <c r="T66" s="160"/>
      <c r="U66" s="160"/>
      <c r="V66" s="160"/>
      <c r="W66" s="160"/>
      <c r="X66" s="160"/>
      <c r="Y66" s="160"/>
      <c r="Z66" s="160"/>
    </row>
    <row r="67" ht="15.75" customHeight="1" outlineLevel="1">
      <c r="A67" s="168" t="s">
        <v>348</v>
      </c>
      <c r="B67" s="163"/>
      <c r="C67" s="167">
        <v>-309.0</v>
      </c>
      <c r="D67" s="163"/>
      <c r="E67" s="163"/>
      <c r="F67" s="163"/>
      <c r="G67" s="163"/>
      <c r="H67" s="163"/>
      <c r="I67" s="163"/>
      <c r="J67" s="163"/>
      <c r="K67" s="163"/>
      <c r="L67" s="163"/>
      <c r="M67" s="163"/>
      <c r="N67" s="164"/>
      <c r="O67" s="163"/>
      <c r="P67" s="114"/>
      <c r="Q67" s="160"/>
      <c r="R67" s="160"/>
      <c r="S67" s="160"/>
      <c r="T67" s="160"/>
      <c r="U67" s="160"/>
      <c r="V67" s="160"/>
      <c r="W67" s="160"/>
      <c r="X67" s="160"/>
      <c r="Y67" s="160"/>
      <c r="Z67" s="160"/>
    </row>
    <row r="68" ht="15.75" customHeight="1" outlineLevel="1">
      <c r="A68" s="162" t="s">
        <v>349</v>
      </c>
      <c r="B68" s="163">
        <v>333.86</v>
      </c>
      <c r="C68" s="163">
        <v>333.86</v>
      </c>
      <c r="D68" s="163">
        <v>333.86</v>
      </c>
      <c r="E68" s="163">
        <v>333.86</v>
      </c>
      <c r="F68" s="163">
        <v>333.86</v>
      </c>
      <c r="G68" s="163">
        <v>333.86</v>
      </c>
      <c r="H68" s="163">
        <v>333.86</v>
      </c>
      <c r="I68" s="163">
        <v>333.86</v>
      </c>
      <c r="J68" s="163">
        <v>333.86</v>
      </c>
      <c r="K68" s="163">
        <v>333.86</v>
      </c>
      <c r="L68" s="163">
        <v>333.86</v>
      </c>
      <c r="M68" s="163">
        <v>333.86</v>
      </c>
      <c r="N68" s="164">
        <f>SUM(B68:M68)</f>
        <v>4006.32</v>
      </c>
      <c r="O68" s="163">
        <f>N68/12</f>
        <v>333.86</v>
      </c>
      <c r="P68" s="114" t="s">
        <v>350</v>
      </c>
      <c r="Q68" s="160"/>
      <c r="R68" s="160"/>
      <c r="S68" s="160"/>
      <c r="T68" s="160"/>
      <c r="U68" s="160"/>
      <c r="V68" s="160"/>
      <c r="W68" s="160"/>
      <c r="X68" s="160"/>
      <c r="Y68" s="160"/>
      <c r="Z68" s="160"/>
    </row>
    <row r="69" ht="15.75" customHeight="1" outlineLevel="1">
      <c r="A69" s="168" t="s">
        <v>351</v>
      </c>
      <c r="B69" s="158"/>
      <c r="C69" s="169">
        <v>200.0</v>
      </c>
      <c r="D69" s="158"/>
      <c r="E69" s="158"/>
      <c r="F69" s="158"/>
      <c r="G69" s="158"/>
      <c r="H69" s="158"/>
      <c r="I69" s="158"/>
      <c r="J69" s="158"/>
      <c r="K69" s="158"/>
      <c r="L69" s="158"/>
      <c r="M69" s="158"/>
      <c r="N69" s="159"/>
      <c r="O69" s="158"/>
      <c r="P69" s="170"/>
      <c r="Q69" s="160"/>
      <c r="R69" s="160"/>
      <c r="S69" s="160"/>
      <c r="T69" s="160"/>
      <c r="U69" s="160"/>
      <c r="V69" s="160"/>
      <c r="W69" s="160"/>
      <c r="X69" s="160"/>
      <c r="Y69" s="160"/>
      <c r="Z69" s="160"/>
    </row>
    <row r="70" ht="15.75" customHeight="1" outlineLevel="1">
      <c r="A70" s="162" t="s">
        <v>352</v>
      </c>
      <c r="B70" s="158">
        <v>150.0</v>
      </c>
      <c r="C70" s="158"/>
      <c r="D70" s="158"/>
      <c r="E70" s="158"/>
      <c r="F70" s="158"/>
      <c r="G70" s="158"/>
      <c r="H70" s="158"/>
      <c r="I70" s="158"/>
      <c r="J70" s="158"/>
      <c r="K70" s="158"/>
      <c r="L70" s="158"/>
      <c r="M70" s="158"/>
      <c r="N70" s="159">
        <f>SUM(B70:M70)</f>
        <v>150</v>
      </c>
      <c r="O70" s="158">
        <f t="shared" ref="O70:O86" si="17">N70/12</f>
        <v>12.5</v>
      </c>
      <c r="P70" s="170" t="s">
        <v>353</v>
      </c>
      <c r="Q70" s="160"/>
      <c r="R70" s="160"/>
      <c r="S70" s="160"/>
      <c r="T70" s="160"/>
      <c r="U70" s="160"/>
      <c r="V70" s="160"/>
      <c r="W70" s="160"/>
      <c r="X70" s="160"/>
      <c r="Y70" s="160"/>
      <c r="Z70" s="160"/>
    </row>
    <row r="71" ht="15.75" customHeight="1" outlineLevel="1">
      <c r="A71" s="162" t="s">
        <v>354</v>
      </c>
      <c r="C71" s="167">
        <v>-165.0</v>
      </c>
      <c r="D71" s="163"/>
      <c r="E71" s="163"/>
      <c r="F71" s="163"/>
      <c r="G71" s="163"/>
      <c r="H71" s="163"/>
      <c r="I71" s="163"/>
      <c r="J71" s="163"/>
      <c r="K71" s="163"/>
      <c r="L71" s="163"/>
      <c r="M71" s="163"/>
      <c r="N71" s="164">
        <f>SUM(C71:M71)</f>
        <v>-165</v>
      </c>
      <c r="O71" s="163">
        <f t="shared" si="17"/>
        <v>-13.75</v>
      </c>
      <c r="P71" s="114" t="s">
        <v>355</v>
      </c>
      <c r="Q71" s="160"/>
      <c r="R71" s="160"/>
      <c r="S71" s="160"/>
      <c r="T71" s="160"/>
      <c r="U71" s="160"/>
      <c r="V71" s="160"/>
      <c r="W71" s="160"/>
      <c r="X71" s="160"/>
      <c r="Y71" s="160"/>
      <c r="Z71" s="160"/>
    </row>
    <row r="72" ht="15.75" customHeight="1" outlineLevel="1">
      <c r="A72" s="162" t="s">
        <v>356</v>
      </c>
      <c r="B72" s="158">
        <v>178.75</v>
      </c>
      <c r="C72" s="165">
        <v>130.0</v>
      </c>
      <c r="D72" s="165">
        <v>130.0</v>
      </c>
      <c r="E72" s="165">
        <v>130.0</v>
      </c>
      <c r="F72" s="165">
        <v>130.0</v>
      </c>
      <c r="G72" s="165">
        <v>130.0</v>
      </c>
      <c r="H72" s="165">
        <v>130.0</v>
      </c>
      <c r="I72" s="165">
        <v>130.0</v>
      </c>
      <c r="J72" s="165">
        <v>130.0</v>
      </c>
      <c r="K72" s="165">
        <v>130.0</v>
      </c>
      <c r="L72" s="165">
        <v>130.0</v>
      </c>
      <c r="M72" s="165">
        <v>130.0</v>
      </c>
      <c r="N72" s="159">
        <f t="shared" ref="N72:N90" si="18">SUM(B72:M72)</f>
        <v>1608.75</v>
      </c>
      <c r="O72" s="158">
        <f t="shared" si="17"/>
        <v>134.0625</v>
      </c>
      <c r="P72" s="84" t="s">
        <v>350</v>
      </c>
      <c r="Q72" s="160"/>
      <c r="R72" s="160"/>
      <c r="S72" s="160"/>
      <c r="T72" s="160"/>
      <c r="U72" s="160"/>
      <c r="V72" s="160"/>
      <c r="W72" s="160"/>
      <c r="X72" s="160"/>
      <c r="Y72" s="160"/>
      <c r="Z72" s="160"/>
    </row>
    <row r="73" ht="15.75" customHeight="1" outlineLevel="1">
      <c r="A73" s="162" t="s">
        <v>357</v>
      </c>
      <c r="B73" s="163">
        <v>38.0</v>
      </c>
      <c r="C73" s="163"/>
      <c r="D73" s="163"/>
      <c r="E73" s="163"/>
      <c r="F73" s="163"/>
      <c r="G73" s="163"/>
      <c r="H73" s="163"/>
      <c r="I73" s="163"/>
      <c r="J73" s="163"/>
      <c r="K73" s="163"/>
      <c r="L73" s="163"/>
      <c r="M73" s="163"/>
      <c r="N73" s="164">
        <f t="shared" si="18"/>
        <v>38</v>
      </c>
      <c r="O73" s="163">
        <f t="shared" si="17"/>
        <v>3.166666667</v>
      </c>
      <c r="P73" s="171" t="s">
        <v>358</v>
      </c>
      <c r="Q73" s="160"/>
      <c r="R73" s="160"/>
      <c r="S73" s="160"/>
      <c r="T73" s="160"/>
      <c r="U73" s="160"/>
      <c r="V73" s="160"/>
      <c r="W73" s="160"/>
      <c r="X73" s="160"/>
      <c r="Y73" s="160"/>
      <c r="Z73" s="160"/>
    </row>
    <row r="74" ht="15.75" customHeight="1" outlineLevel="1">
      <c r="A74" s="161" t="s">
        <v>359</v>
      </c>
      <c r="B74" s="158">
        <v>50.0</v>
      </c>
      <c r="C74" s="158">
        <v>50.0</v>
      </c>
      <c r="D74" s="158">
        <v>50.0</v>
      </c>
      <c r="E74" s="158">
        <v>50.0</v>
      </c>
      <c r="F74" s="158">
        <v>50.0</v>
      </c>
      <c r="G74" s="158">
        <v>50.0</v>
      </c>
      <c r="H74" s="158">
        <v>50.0</v>
      </c>
      <c r="I74" s="158">
        <v>50.0</v>
      </c>
      <c r="J74" s="158">
        <v>50.0</v>
      </c>
      <c r="K74" s="158">
        <v>50.0</v>
      </c>
      <c r="L74" s="158">
        <v>50.0</v>
      </c>
      <c r="M74" s="158">
        <v>50.0</v>
      </c>
      <c r="N74" s="159">
        <f t="shared" si="18"/>
        <v>600</v>
      </c>
      <c r="O74" s="158">
        <f t="shared" si="17"/>
        <v>50</v>
      </c>
      <c r="P74" s="84" t="s">
        <v>340</v>
      </c>
      <c r="Q74" s="160"/>
      <c r="R74" s="160"/>
      <c r="S74" s="160"/>
      <c r="T74" s="160"/>
      <c r="U74" s="160"/>
      <c r="V74" s="160"/>
      <c r="W74" s="160"/>
      <c r="X74" s="160"/>
      <c r="Y74" s="160"/>
      <c r="Z74" s="160"/>
    </row>
    <row r="75" ht="15.75" customHeight="1" outlineLevel="1">
      <c r="A75" s="162" t="s">
        <v>360</v>
      </c>
      <c r="B75" s="167">
        <v>102.0</v>
      </c>
      <c r="C75" s="167">
        <v>102.0</v>
      </c>
      <c r="D75" s="167">
        <v>102.0</v>
      </c>
      <c r="E75" s="163"/>
      <c r="F75" s="163"/>
      <c r="G75" s="163"/>
      <c r="H75" s="163"/>
      <c r="I75" s="163"/>
      <c r="J75" s="163"/>
      <c r="K75" s="163"/>
      <c r="L75" s="163"/>
      <c r="M75" s="163"/>
      <c r="N75" s="164">
        <f t="shared" si="18"/>
        <v>306</v>
      </c>
      <c r="O75" s="163">
        <f t="shared" si="17"/>
        <v>25.5</v>
      </c>
      <c r="P75" s="114" t="s">
        <v>361</v>
      </c>
      <c r="Q75" s="160"/>
      <c r="R75" s="160"/>
      <c r="S75" s="160"/>
      <c r="T75" s="160"/>
      <c r="U75" s="160"/>
      <c r="V75" s="160"/>
      <c r="W75" s="160"/>
      <c r="X75" s="160"/>
      <c r="Y75" s="160"/>
      <c r="Z75" s="160"/>
    </row>
    <row r="76" ht="15.75" customHeight="1" outlineLevel="1">
      <c r="A76" s="168" t="s">
        <v>362</v>
      </c>
      <c r="B76" s="167">
        <v>0.0</v>
      </c>
      <c r="C76" s="163">
        <v>100.0</v>
      </c>
      <c r="D76" s="163">
        <v>100.0</v>
      </c>
      <c r="E76" s="163">
        <v>100.0</v>
      </c>
      <c r="F76" s="163">
        <v>100.0</v>
      </c>
      <c r="G76" s="163">
        <v>100.0</v>
      </c>
      <c r="H76" s="163">
        <v>100.0</v>
      </c>
      <c r="I76" s="163">
        <v>100.0</v>
      </c>
      <c r="J76" s="163">
        <v>100.0</v>
      </c>
      <c r="K76" s="163">
        <v>100.0</v>
      </c>
      <c r="L76" s="163">
        <v>100.0</v>
      </c>
      <c r="M76" s="163">
        <v>100.0</v>
      </c>
      <c r="N76" s="164">
        <f t="shared" si="18"/>
        <v>1100</v>
      </c>
      <c r="O76" s="163">
        <f t="shared" si="17"/>
        <v>91.66666667</v>
      </c>
      <c r="P76" s="114"/>
      <c r="Q76" s="160"/>
      <c r="R76" s="160"/>
      <c r="S76" s="160"/>
      <c r="T76" s="160"/>
      <c r="U76" s="160"/>
      <c r="V76" s="160"/>
      <c r="W76" s="160"/>
      <c r="X76" s="160"/>
      <c r="Y76" s="160"/>
      <c r="Z76" s="160"/>
    </row>
    <row r="77" ht="15.75" customHeight="1" outlineLevel="1">
      <c r="A77" s="162" t="s">
        <v>363</v>
      </c>
      <c r="B77" s="158">
        <v>10.0</v>
      </c>
      <c r="C77" s="158"/>
      <c r="D77" s="158"/>
      <c r="E77" s="158"/>
      <c r="F77" s="158"/>
      <c r="G77" s="158"/>
      <c r="H77" s="158"/>
      <c r="I77" s="158"/>
      <c r="J77" s="158"/>
      <c r="K77" s="158"/>
      <c r="L77" s="158"/>
      <c r="M77" s="158"/>
      <c r="N77" s="159">
        <f t="shared" si="18"/>
        <v>10</v>
      </c>
      <c r="O77" s="158">
        <f t="shared" si="17"/>
        <v>0.8333333333</v>
      </c>
      <c r="P77" s="170" t="s">
        <v>358</v>
      </c>
      <c r="Q77" s="160"/>
      <c r="R77" s="160"/>
      <c r="S77" s="160"/>
      <c r="T77" s="160"/>
      <c r="U77" s="160"/>
      <c r="V77" s="160"/>
      <c r="W77" s="160"/>
      <c r="X77" s="160"/>
      <c r="Y77" s="160"/>
      <c r="Z77" s="160"/>
    </row>
    <row r="78" ht="15.75" customHeight="1" outlineLevel="1">
      <c r="A78" s="162" t="s">
        <v>364</v>
      </c>
      <c r="B78" s="163">
        <v>45.0</v>
      </c>
      <c r="C78" s="163">
        <v>45.0</v>
      </c>
      <c r="D78" s="163"/>
      <c r="E78" s="163"/>
      <c r="F78" s="163"/>
      <c r="G78" s="163"/>
      <c r="H78" s="163"/>
      <c r="I78" s="163"/>
      <c r="J78" s="163"/>
      <c r="K78" s="163"/>
      <c r="L78" s="163"/>
      <c r="M78" s="163"/>
      <c r="N78" s="164">
        <f t="shared" si="18"/>
        <v>90</v>
      </c>
      <c r="O78" s="163">
        <f t="shared" si="17"/>
        <v>7.5</v>
      </c>
      <c r="P78" s="114" t="s">
        <v>365</v>
      </c>
      <c r="Q78" s="160"/>
      <c r="R78" s="160"/>
      <c r="S78" s="160"/>
      <c r="T78" s="160"/>
      <c r="U78" s="160"/>
      <c r="V78" s="160"/>
      <c r="W78" s="160"/>
      <c r="X78" s="160"/>
      <c r="Y78" s="160"/>
      <c r="Z78" s="160"/>
    </row>
    <row r="79" ht="15.75" customHeight="1" outlineLevel="1">
      <c r="A79" s="162" t="s">
        <v>366</v>
      </c>
      <c r="B79" s="172"/>
      <c r="C79" s="172"/>
      <c r="D79" s="172"/>
      <c r="E79" s="172"/>
      <c r="F79" s="172"/>
      <c r="G79" s="172"/>
      <c r="H79" s="172"/>
      <c r="I79" s="172"/>
      <c r="J79" s="158"/>
      <c r="K79" s="4"/>
      <c r="L79" s="172"/>
      <c r="M79" s="172"/>
      <c r="N79" s="159">
        <f t="shared" si="18"/>
        <v>0</v>
      </c>
      <c r="O79" s="158">
        <f t="shared" si="17"/>
        <v>0</v>
      </c>
      <c r="P79" s="170" t="s">
        <v>367</v>
      </c>
      <c r="Q79" s="160"/>
      <c r="R79" s="160"/>
      <c r="S79" s="160"/>
      <c r="T79" s="160"/>
      <c r="U79" s="160"/>
      <c r="V79" s="160"/>
      <c r="W79" s="160"/>
      <c r="X79" s="160"/>
      <c r="Y79" s="160"/>
      <c r="Z79" s="160"/>
    </row>
    <row r="80" ht="15.75" customHeight="1" outlineLevel="1">
      <c r="A80" s="162" t="s">
        <v>368</v>
      </c>
      <c r="B80" s="173"/>
      <c r="C80" s="173"/>
      <c r="D80" s="173"/>
      <c r="E80" s="173"/>
      <c r="F80" s="173"/>
      <c r="G80" s="173"/>
      <c r="H80" s="173"/>
      <c r="I80" s="173"/>
      <c r="J80" s="173"/>
      <c r="K80" s="163"/>
      <c r="L80" s="173"/>
      <c r="M80" s="173"/>
      <c r="N80" s="164">
        <f t="shared" si="18"/>
        <v>0</v>
      </c>
      <c r="O80" s="163">
        <f t="shared" si="17"/>
        <v>0</v>
      </c>
      <c r="P80" s="174" t="s">
        <v>369</v>
      </c>
      <c r="Q80" s="160"/>
      <c r="R80" s="160"/>
      <c r="S80" s="160"/>
      <c r="T80" s="160"/>
      <c r="U80" s="160"/>
      <c r="V80" s="160"/>
      <c r="W80" s="160"/>
      <c r="X80" s="160"/>
      <c r="Y80" s="160"/>
      <c r="Z80" s="160"/>
    </row>
    <row r="81" ht="15.75" customHeight="1" outlineLevel="1">
      <c r="A81" s="175" t="s">
        <v>370</v>
      </c>
      <c r="B81" s="158">
        <v>65.0</v>
      </c>
      <c r="C81" s="158">
        <v>65.0</v>
      </c>
      <c r="D81" s="158">
        <v>65.0</v>
      </c>
      <c r="E81" s="158">
        <v>65.0</v>
      </c>
      <c r="F81" s="158">
        <v>65.0</v>
      </c>
      <c r="G81" s="158">
        <v>65.0</v>
      </c>
      <c r="H81" s="158">
        <v>65.0</v>
      </c>
      <c r="I81" s="158">
        <v>65.0</v>
      </c>
      <c r="J81" s="158">
        <v>65.0</v>
      </c>
      <c r="K81" s="158">
        <v>65.0</v>
      </c>
      <c r="L81" s="158">
        <v>65.0</v>
      </c>
      <c r="M81" s="158">
        <v>65.0</v>
      </c>
      <c r="N81" s="159">
        <f t="shared" si="18"/>
        <v>780</v>
      </c>
      <c r="O81" s="176">
        <f t="shared" si="17"/>
        <v>65</v>
      </c>
      <c r="P81" s="177" t="s">
        <v>371</v>
      </c>
      <c r="Q81" s="160"/>
      <c r="R81" s="160"/>
      <c r="S81" s="160"/>
      <c r="T81" s="160"/>
      <c r="U81" s="160"/>
      <c r="V81" s="160"/>
      <c r="W81" s="160"/>
      <c r="X81" s="160"/>
      <c r="Y81" s="160"/>
      <c r="Z81" s="160"/>
    </row>
    <row r="82" ht="15.75" customHeight="1" outlineLevel="1">
      <c r="A82" s="175" t="s">
        <v>372</v>
      </c>
      <c r="B82" s="158">
        <v>38.0</v>
      </c>
      <c r="C82" s="158">
        <v>70.0</v>
      </c>
      <c r="D82" s="158">
        <v>70.0</v>
      </c>
      <c r="E82" s="158">
        <v>70.0</v>
      </c>
      <c r="F82" s="158">
        <v>70.0</v>
      </c>
      <c r="G82" s="158">
        <v>70.0</v>
      </c>
      <c r="H82" s="158">
        <v>70.0</v>
      </c>
      <c r="I82" s="158">
        <v>70.0</v>
      </c>
      <c r="J82" s="158">
        <v>70.0</v>
      </c>
      <c r="K82" s="158">
        <v>70.0</v>
      </c>
      <c r="L82" s="158">
        <v>70.0</v>
      </c>
      <c r="M82" s="158">
        <v>70.0</v>
      </c>
      <c r="N82" s="159">
        <f t="shared" si="18"/>
        <v>808</v>
      </c>
      <c r="O82" s="176">
        <f t="shared" si="17"/>
        <v>67.33333333</v>
      </c>
      <c r="P82" s="177" t="s">
        <v>373</v>
      </c>
      <c r="Q82" s="160"/>
      <c r="R82" s="160"/>
      <c r="S82" s="160"/>
      <c r="T82" s="160"/>
      <c r="U82" s="160"/>
      <c r="V82" s="160"/>
      <c r="W82" s="160"/>
      <c r="X82" s="160"/>
      <c r="Y82" s="160"/>
      <c r="Z82" s="160"/>
    </row>
    <row r="83" ht="15.75" customHeight="1" outlineLevel="1">
      <c r="A83" s="175" t="s">
        <v>374</v>
      </c>
      <c r="B83" s="173">
        <v>40.0</v>
      </c>
      <c r="C83" s="173">
        <v>40.0</v>
      </c>
      <c r="D83" s="173">
        <v>40.0</v>
      </c>
      <c r="E83" s="173">
        <v>40.0</v>
      </c>
      <c r="F83" s="173">
        <v>40.0</v>
      </c>
      <c r="G83" s="173">
        <v>40.0</v>
      </c>
      <c r="H83" s="173">
        <v>40.0</v>
      </c>
      <c r="I83" s="173">
        <v>40.0</v>
      </c>
      <c r="J83" s="173">
        <v>40.0</v>
      </c>
      <c r="K83" s="163">
        <v>40.0</v>
      </c>
      <c r="L83" s="173">
        <v>40.0</v>
      </c>
      <c r="M83" s="173">
        <v>40.0</v>
      </c>
      <c r="N83" s="159">
        <f t="shared" si="18"/>
        <v>480</v>
      </c>
      <c r="O83" s="176">
        <f t="shared" si="17"/>
        <v>40</v>
      </c>
      <c r="P83" s="177" t="s">
        <v>375</v>
      </c>
      <c r="Q83" s="160"/>
      <c r="R83" s="160"/>
      <c r="S83" s="160"/>
      <c r="T83" s="160"/>
      <c r="U83" s="160"/>
      <c r="V83" s="160"/>
      <c r="W83" s="160"/>
      <c r="X83" s="160"/>
      <c r="Y83" s="160"/>
      <c r="Z83" s="160"/>
    </row>
    <row r="84" ht="15.75" customHeight="1" outlineLevel="1">
      <c r="A84" s="175" t="s">
        <v>376</v>
      </c>
      <c r="B84" s="172"/>
      <c r="C84" s="172"/>
      <c r="D84" s="172"/>
      <c r="E84" s="172"/>
      <c r="F84" s="172"/>
      <c r="G84" s="172"/>
      <c r="H84" s="172"/>
      <c r="I84" s="172"/>
      <c r="J84" s="172"/>
      <c r="K84" s="172"/>
      <c r="L84" s="172"/>
      <c r="M84" s="158">
        <v>130.0</v>
      </c>
      <c r="N84" s="159">
        <f t="shared" si="18"/>
        <v>130</v>
      </c>
      <c r="O84" s="176">
        <f t="shared" si="17"/>
        <v>10.83333333</v>
      </c>
      <c r="P84" s="177" t="s">
        <v>377</v>
      </c>
      <c r="Q84" s="160"/>
      <c r="R84" s="160"/>
      <c r="S84" s="160"/>
      <c r="T84" s="160"/>
      <c r="U84" s="160"/>
      <c r="V84" s="160"/>
      <c r="W84" s="160"/>
      <c r="X84" s="160"/>
      <c r="Y84" s="160"/>
      <c r="Z84" s="160"/>
    </row>
    <row r="85" ht="15.75" customHeight="1" outlineLevel="1">
      <c r="A85" s="178" t="s">
        <v>378</v>
      </c>
      <c r="B85" s="179"/>
      <c r="C85" s="179"/>
      <c r="D85" s="179"/>
      <c r="E85" s="179"/>
      <c r="F85" s="179"/>
      <c r="G85" s="179"/>
      <c r="H85" s="179"/>
      <c r="I85" s="179"/>
      <c r="J85" s="179"/>
      <c r="K85" s="179"/>
      <c r="L85" s="179"/>
      <c r="M85" s="179"/>
      <c r="N85" s="164">
        <f t="shared" si="18"/>
        <v>0</v>
      </c>
      <c r="O85" s="176">
        <f t="shared" si="17"/>
        <v>0</v>
      </c>
      <c r="P85" s="177" t="s">
        <v>379</v>
      </c>
      <c r="Q85" s="160"/>
      <c r="R85" s="160"/>
      <c r="S85" s="160"/>
      <c r="T85" s="160"/>
      <c r="U85" s="160"/>
      <c r="V85" s="160"/>
      <c r="W85" s="160"/>
      <c r="X85" s="160"/>
      <c r="Y85" s="160"/>
      <c r="Z85" s="160"/>
    </row>
    <row r="86" ht="15.75" customHeight="1" outlineLevel="1">
      <c r="A86" s="178" t="s">
        <v>380</v>
      </c>
      <c r="B86" s="179">
        <v>36.21</v>
      </c>
      <c r="C86" s="179">
        <v>36.21</v>
      </c>
      <c r="D86" s="179">
        <v>36.21</v>
      </c>
      <c r="E86" s="179">
        <v>36.21</v>
      </c>
      <c r="F86" s="179">
        <v>36.21</v>
      </c>
      <c r="G86" s="179">
        <v>36.21</v>
      </c>
      <c r="H86" s="179">
        <v>36.21</v>
      </c>
      <c r="I86" s="179">
        <v>36.21</v>
      </c>
      <c r="J86" s="179">
        <v>36.21</v>
      </c>
      <c r="K86" s="179">
        <v>36.21</v>
      </c>
      <c r="L86" s="179">
        <v>36.21</v>
      </c>
      <c r="M86" s="179">
        <v>36.21</v>
      </c>
      <c r="N86" s="180">
        <f t="shared" si="18"/>
        <v>434.52</v>
      </c>
      <c r="O86" s="181">
        <f t="shared" si="17"/>
        <v>36.21</v>
      </c>
      <c r="P86" s="177" t="s">
        <v>340</v>
      </c>
      <c r="Q86" s="160"/>
      <c r="R86" s="160"/>
      <c r="S86" s="160"/>
      <c r="T86" s="160"/>
      <c r="U86" s="160"/>
      <c r="V86" s="160"/>
      <c r="W86" s="160"/>
      <c r="X86" s="160"/>
      <c r="Y86" s="160"/>
      <c r="Z86" s="160"/>
    </row>
    <row r="87" ht="15.75" customHeight="1" outlineLevel="1">
      <c r="A87" s="178" t="s">
        <v>381</v>
      </c>
      <c r="B87" s="179"/>
      <c r="C87" s="179"/>
      <c r="D87" s="179"/>
      <c r="E87" s="179"/>
      <c r="F87" s="179"/>
      <c r="G87" s="179"/>
      <c r="H87" s="179"/>
      <c r="I87" s="179">
        <v>405.0</v>
      </c>
      <c r="J87" s="179"/>
      <c r="K87" s="179"/>
      <c r="L87" s="179"/>
      <c r="M87" s="179"/>
      <c r="N87" s="180">
        <f t="shared" si="18"/>
        <v>405</v>
      </c>
      <c r="O87" s="181">
        <f t="shared" ref="O87:O88" si="19">I87/12</f>
        <v>33.75</v>
      </c>
      <c r="P87" s="177" t="s">
        <v>382</v>
      </c>
      <c r="Q87" s="160"/>
      <c r="R87" s="160"/>
      <c r="S87" s="160"/>
      <c r="T87" s="160"/>
      <c r="U87" s="160"/>
      <c r="V87" s="160"/>
      <c r="W87" s="160"/>
      <c r="X87" s="160"/>
      <c r="Y87" s="160"/>
      <c r="Z87" s="160"/>
    </row>
    <row r="88" ht="15.75" customHeight="1" outlineLevel="1">
      <c r="A88" s="178" t="s">
        <v>383</v>
      </c>
      <c r="B88" s="179"/>
      <c r="C88" s="179"/>
      <c r="D88" s="179"/>
      <c r="E88" s="179"/>
      <c r="F88" s="179"/>
      <c r="G88" s="179"/>
      <c r="H88" s="179"/>
      <c r="I88" s="179"/>
      <c r="J88" s="179"/>
      <c r="K88" s="179"/>
      <c r="L88" s="179"/>
      <c r="M88" s="179"/>
      <c r="N88" s="180">
        <f t="shared" si="18"/>
        <v>0</v>
      </c>
      <c r="O88" s="181">
        <f t="shared" si="19"/>
        <v>0</v>
      </c>
      <c r="P88" s="177" t="s">
        <v>384</v>
      </c>
      <c r="Q88" s="160"/>
      <c r="R88" s="160"/>
      <c r="S88" s="160"/>
      <c r="T88" s="160"/>
      <c r="U88" s="160"/>
      <c r="V88" s="160"/>
      <c r="W88" s="160"/>
      <c r="X88" s="160"/>
      <c r="Y88" s="160"/>
      <c r="Z88" s="160"/>
    </row>
    <row r="89" ht="15.75" customHeight="1" outlineLevel="1">
      <c r="A89" s="178" t="s">
        <v>385</v>
      </c>
      <c r="B89" s="179">
        <v>7.14</v>
      </c>
      <c r="C89" s="179">
        <v>7.14</v>
      </c>
      <c r="D89" s="179">
        <v>7.14</v>
      </c>
      <c r="E89" s="179">
        <v>7.14</v>
      </c>
      <c r="F89" s="179">
        <v>7.14</v>
      </c>
      <c r="G89" s="179">
        <v>7.14</v>
      </c>
      <c r="H89" s="179">
        <v>7.14</v>
      </c>
      <c r="I89" s="179">
        <v>7.14</v>
      </c>
      <c r="J89" s="179">
        <v>7.14</v>
      </c>
      <c r="K89" s="179">
        <v>7.14</v>
      </c>
      <c r="L89" s="179">
        <v>7.14</v>
      </c>
      <c r="M89" s="179">
        <v>7.14</v>
      </c>
      <c r="N89" s="180">
        <f t="shared" si="18"/>
        <v>85.68</v>
      </c>
      <c r="O89" s="181">
        <f t="shared" ref="O89:O90" si="21">N89/12</f>
        <v>7.14</v>
      </c>
      <c r="P89" s="177" t="s">
        <v>340</v>
      </c>
      <c r="Q89" s="160"/>
      <c r="R89" s="160"/>
      <c r="S89" s="160"/>
      <c r="T89" s="160"/>
      <c r="U89" s="160"/>
      <c r="V89" s="160"/>
      <c r="W89" s="160"/>
      <c r="X89" s="160"/>
      <c r="Y89" s="160"/>
      <c r="Z89" s="160"/>
    </row>
    <row r="90" ht="15.75" customHeight="1">
      <c r="A90" s="157" t="s">
        <v>386</v>
      </c>
      <c r="B90" s="179">
        <f t="shared" ref="B90:M90" si="20">SUM(B60:B89)</f>
        <v>2557.95</v>
      </c>
      <c r="C90" s="179">
        <f t="shared" si="20"/>
        <v>1959.2</v>
      </c>
      <c r="D90" s="179">
        <f t="shared" si="20"/>
        <v>1838.2</v>
      </c>
      <c r="E90" s="179">
        <f t="shared" si="20"/>
        <v>1736.2</v>
      </c>
      <c r="F90" s="179">
        <f t="shared" si="20"/>
        <v>1736.2</v>
      </c>
      <c r="G90" s="179">
        <f t="shared" si="20"/>
        <v>1736.2</v>
      </c>
      <c r="H90" s="179">
        <f t="shared" si="20"/>
        <v>1736.2</v>
      </c>
      <c r="I90" s="179">
        <f t="shared" si="20"/>
        <v>2141.2</v>
      </c>
      <c r="J90" s="179">
        <f t="shared" si="20"/>
        <v>1736.2</v>
      </c>
      <c r="K90" s="179">
        <f t="shared" si="20"/>
        <v>1736.2</v>
      </c>
      <c r="L90" s="179">
        <f t="shared" si="20"/>
        <v>1736.2</v>
      </c>
      <c r="M90" s="179">
        <f t="shared" si="20"/>
        <v>1866.2</v>
      </c>
      <c r="N90" s="180">
        <f t="shared" si="18"/>
        <v>22516.15</v>
      </c>
      <c r="O90" s="179">
        <f t="shared" si="21"/>
        <v>1876.345833</v>
      </c>
      <c r="P90" s="182" t="s">
        <v>387</v>
      </c>
      <c r="Q90" s="160"/>
      <c r="R90" s="160"/>
      <c r="S90" s="160"/>
      <c r="T90" s="160"/>
      <c r="U90" s="160"/>
      <c r="V90" s="160"/>
      <c r="W90" s="160"/>
      <c r="X90" s="160"/>
      <c r="Y90" s="160"/>
      <c r="Z90" s="160"/>
    </row>
    <row r="91" ht="15.75" hidden="1" customHeight="1" outlineLevel="1">
      <c r="A91" s="157" t="s">
        <v>388</v>
      </c>
      <c r="B91" s="179"/>
      <c r="C91" s="179"/>
      <c r="D91" s="179"/>
      <c r="E91" s="179"/>
      <c r="F91" s="179"/>
      <c r="G91" s="179"/>
      <c r="H91" s="179"/>
      <c r="I91" s="179"/>
      <c r="J91" s="179"/>
      <c r="K91" s="179"/>
      <c r="L91" s="179"/>
      <c r="M91" s="179"/>
      <c r="N91" s="180"/>
      <c r="O91" s="179"/>
      <c r="P91" s="182"/>
      <c r="Q91" s="160"/>
      <c r="R91" s="160"/>
      <c r="S91" s="160"/>
      <c r="T91" s="160"/>
      <c r="U91" s="160"/>
      <c r="V91" s="160"/>
      <c r="W91" s="160"/>
      <c r="X91" s="160"/>
      <c r="Y91" s="160"/>
      <c r="Z91" s="160"/>
    </row>
    <row r="92" ht="15.75" hidden="1" customHeight="1" outlineLevel="1">
      <c r="A92" s="30" t="s">
        <v>389</v>
      </c>
      <c r="B92" s="179">
        <v>350.0</v>
      </c>
      <c r="C92" s="179"/>
      <c r="D92" s="179"/>
      <c r="E92" s="179"/>
      <c r="F92" s="179"/>
      <c r="G92" s="179"/>
      <c r="H92" s="179"/>
      <c r="I92" s="179"/>
      <c r="J92" s="179"/>
      <c r="K92" s="179"/>
      <c r="L92" s="179"/>
      <c r="M92" s="179"/>
      <c r="N92" s="180">
        <f>SUM(B92:M92)</f>
        <v>350</v>
      </c>
      <c r="O92" s="179"/>
      <c r="P92" s="182"/>
      <c r="Q92" s="160"/>
      <c r="R92" s="160"/>
      <c r="S92" s="160"/>
      <c r="T92" s="160"/>
      <c r="U92" s="160"/>
      <c r="V92" s="160"/>
      <c r="W92" s="160"/>
      <c r="X92" s="160"/>
      <c r="Y92" s="160"/>
      <c r="Z92" s="160"/>
    </row>
    <row r="93" ht="15.75" hidden="1" customHeight="1" outlineLevel="1">
      <c r="A93" s="27" t="s">
        <v>390</v>
      </c>
      <c r="B93" s="179"/>
      <c r="C93" s="183">
        <v>360.0</v>
      </c>
      <c r="D93" s="179"/>
      <c r="E93" s="179"/>
      <c r="F93" s="179"/>
      <c r="G93" s="179"/>
      <c r="H93" s="179"/>
      <c r="I93" s="179"/>
      <c r="J93" s="179"/>
      <c r="K93" s="179"/>
      <c r="L93" s="179"/>
      <c r="M93" s="179"/>
      <c r="N93" s="180"/>
      <c r="O93" s="179"/>
      <c r="P93" s="182"/>
      <c r="Q93" s="160"/>
      <c r="R93" s="160"/>
      <c r="S93" s="160"/>
      <c r="T93" s="160"/>
      <c r="U93" s="160"/>
      <c r="V93" s="160"/>
      <c r="W93" s="160"/>
      <c r="X93" s="160"/>
      <c r="Y93" s="160"/>
      <c r="Z93" s="160"/>
    </row>
    <row r="94" ht="15.75" hidden="1" customHeight="1" outlineLevel="1">
      <c r="A94" s="184" t="s">
        <v>391</v>
      </c>
      <c r="B94" s="185"/>
      <c r="C94" s="186">
        <v>1000.0</v>
      </c>
      <c r="D94" s="186">
        <v>1000.0</v>
      </c>
      <c r="E94" s="55"/>
      <c r="F94" s="55"/>
      <c r="G94" s="55"/>
      <c r="H94" s="55"/>
      <c r="I94" s="55"/>
      <c r="J94" s="55"/>
      <c r="K94" s="55"/>
      <c r="L94" s="55"/>
      <c r="M94" s="55"/>
      <c r="N94" s="55">
        <f t="shared" ref="N94:N119" si="22">SUM(B94:M94)</f>
        <v>2000</v>
      </c>
      <c r="O94" s="55">
        <f>N94/12</f>
        <v>166.6666667</v>
      </c>
      <c r="P94" s="142" t="s">
        <v>392</v>
      </c>
      <c r="Q94" s="4"/>
      <c r="R94" s="4"/>
      <c r="S94" s="4"/>
      <c r="T94" s="4"/>
      <c r="U94" s="4"/>
      <c r="V94" s="4"/>
      <c r="W94" s="4"/>
      <c r="X94" s="4"/>
      <c r="Y94" s="4"/>
      <c r="Z94" s="4"/>
    </row>
    <row r="95" hidden="1" outlineLevel="1">
      <c r="A95" s="187" t="s">
        <v>393</v>
      </c>
      <c r="B95" s="179">
        <v>70.0</v>
      </c>
      <c r="C95" s="179">
        <v>70.0</v>
      </c>
      <c r="D95" s="179">
        <v>70.0</v>
      </c>
      <c r="E95" s="188"/>
      <c r="F95" s="188"/>
      <c r="G95" s="188"/>
      <c r="H95" s="188"/>
      <c r="I95" s="188"/>
      <c r="J95" s="188"/>
      <c r="K95" s="188"/>
      <c r="L95" s="188"/>
      <c r="M95" s="188"/>
      <c r="N95" s="180">
        <f t="shared" si="22"/>
        <v>210</v>
      </c>
      <c r="O95" s="179">
        <f t="shared" ref="O95:O111" si="23">N95/12</f>
        <v>17.5</v>
      </c>
      <c r="P95" s="189" t="s">
        <v>394</v>
      </c>
      <c r="Q95" s="190"/>
      <c r="R95" s="190"/>
      <c r="S95" s="190"/>
      <c r="T95" s="190"/>
      <c r="U95" s="190"/>
      <c r="V95" s="190"/>
      <c r="W95" s="190"/>
      <c r="X95" s="190"/>
      <c r="Y95" s="190"/>
      <c r="Z95" s="190"/>
    </row>
    <row r="96" hidden="1" outlineLevel="1">
      <c r="A96" s="166" t="s">
        <v>395</v>
      </c>
      <c r="B96" s="179">
        <v>105.0</v>
      </c>
      <c r="C96" s="179">
        <v>105.0</v>
      </c>
      <c r="D96" s="179">
        <v>105.0</v>
      </c>
      <c r="E96" s="188"/>
      <c r="F96" s="188"/>
      <c r="G96" s="188"/>
      <c r="H96" s="188"/>
      <c r="I96" s="188"/>
      <c r="J96" s="188"/>
      <c r="K96" s="188"/>
      <c r="L96" s="188"/>
      <c r="M96" s="188"/>
      <c r="N96" s="180">
        <f t="shared" si="22"/>
        <v>315</v>
      </c>
      <c r="O96" s="179">
        <f t="shared" si="23"/>
        <v>26.25</v>
      </c>
      <c r="P96" s="189" t="s">
        <v>396</v>
      </c>
      <c r="Q96" s="190"/>
      <c r="R96" s="190"/>
      <c r="S96" s="190"/>
      <c r="T96" s="190"/>
      <c r="U96" s="190"/>
      <c r="V96" s="190"/>
      <c r="W96" s="190"/>
      <c r="X96" s="190"/>
      <c r="Y96" s="190"/>
      <c r="Z96" s="190"/>
    </row>
    <row r="97" hidden="1" outlineLevel="1">
      <c r="A97" s="187" t="s">
        <v>397</v>
      </c>
      <c r="B97" s="179">
        <v>310.0</v>
      </c>
      <c r="C97" s="179">
        <v>310.0</v>
      </c>
      <c r="D97" s="179">
        <v>310.0</v>
      </c>
      <c r="E97" s="188"/>
      <c r="F97" s="188"/>
      <c r="G97" s="188"/>
      <c r="H97" s="188"/>
      <c r="I97" s="188"/>
      <c r="J97" s="188"/>
      <c r="K97" s="188"/>
      <c r="L97" s="188"/>
      <c r="M97" s="188"/>
      <c r="N97" s="180">
        <f t="shared" si="22"/>
        <v>930</v>
      </c>
      <c r="O97" s="179">
        <f t="shared" si="23"/>
        <v>77.5</v>
      </c>
      <c r="P97" s="189" t="s">
        <v>398</v>
      </c>
      <c r="Q97" s="190"/>
      <c r="R97" s="190"/>
      <c r="S97" s="190"/>
      <c r="T97" s="190"/>
      <c r="U97" s="190"/>
      <c r="V97" s="190"/>
      <c r="W97" s="190"/>
      <c r="X97" s="190"/>
      <c r="Y97" s="190"/>
      <c r="Z97" s="190"/>
    </row>
    <row r="98" hidden="1" outlineLevel="1">
      <c r="A98" s="187" t="s">
        <v>399</v>
      </c>
      <c r="B98" s="179">
        <v>400.0</v>
      </c>
      <c r="C98" s="179">
        <v>400.0</v>
      </c>
      <c r="D98" s="179">
        <v>400.0</v>
      </c>
      <c r="E98" s="188"/>
      <c r="F98" s="188"/>
      <c r="G98" s="188"/>
      <c r="H98" s="188"/>
      <c r="I98" s="188"/>
      <c r="J98" s="188"/>
      <c r="K98" s="188"/>
      <c r="L98" s="188"/>
      <c r="M98" s="188"/>
      <c r="N98" s="180">
        <f t="shared" si="22"/>
        <v>1200</v>
      </c>
      <c r="O98" s="179">
        <f t="shared" si="23"/>
        <v>100</v>
      </c>
      <c r="P98" s="189" t="s">
        <v>400</v>
      </c>
      <c r="Q98" s="190"/>
      <c r="R98" s="190"/>
      <c r="S98" s="190"/>
      <c r="T98" s="190"/>
      <c r="U98" s="190"/>
      <c r="V98" s="190"/>
      <c r="W98" s="190"/>
      <c r="X98" s="190"/>
      <c r="Y98" s="190"/>
      <c r="Z98" s="190"/>
    </row>
    <row r="99" hidden="1" outlineLevel="1">
      <c r="A99" s="166" t="s">
        <v>401</v>
      </c>
      <c r="B99" s="179">
        <v>700.0</v>
      </c>
      <c r="C99" s="179">
        <v>700.0</v>
      </c>
      <c r="D99" s="179">
        <v>700.0</v>
      </c>
      <c r="E99" s="179">
        <v>250.0</v>
      </c>
      <c r="F99" s="179">
        <v>250.0</v>
      </c>
      <c r="G99" s="179">
        <v>250.0</v>
      </c>
      <c r="H99" s="179">
        <v>250.0</v>
      </c>
      <c r="I99" s="179">
        <v>250.0</v>
      </c>
      <c r="J99" s="179">
        <v>250.0</v>
      </c>
      <c r="K99" s="179">
        <v>250.0</v>
      </c>
      <c r="L99" s="179">
        <v>250.0</v>
      </c>
      <c r="M99" s="179">
        <v>250.0</v>
      </c>
      <c r="N99" s="180">
        <f t="shared" si="22"/>
        <v>4350</v>
      </c>
      <c r="O99" s="179">
        <f t="shared" si="23"/>
        <v>362.5</v>
      </c>
      <c r="P99" s="189" t="s">
        <v>402</v>
      </c>
      <c r="Q99" s="190"/>
      <c r="R99" s="190"/>
      <c r="S99" s="190"/>
      <c r="T99" s="190"/>
      <c r="U99" s="190"/>
      <c r="V99" s="190"/>
      <c r="W99" s="190"/>
      <c r="X99" s="190"/>
      <c r="Y99" s="190"/>
      <c r="Z99" s="190"/>
    </row>
    <row r="100" hidden="1" outlineLevel="1">
      <c r="A100" s="166" t="s">
        <v>403</v>
      </c>
      <c r="B100" s="179">
        <v>650.0</v>
      </c>
      <c r="C100" s="179">
        <v>650.0</v>
      </c>
      <c r="D100" s="179">
        <v>650.0</v>
      </c>
      <c r="E100" s="179">
        <v>300.0</v>
      </c>
      <c r="F100" s="179">
        <v>300.0</v>
      </c>
      <c r="G100" s="179">
        <v>300.0</v>
      </c>
      <c r="H100" s="179">
        <v>300.0</v>
      </c>
      <c r="I100" s="179">
        <v>300.0</v>
      </c>
      <c r="J100" s="179">
        <v>300.0</v>
      </c>
      <c r="K100" s="179">
        <v>300.0</v>
      </c>
      <c r="L100" s="179">
        <v>300.0</v>
      </c>
      <c r="M100" s="179">
        <v>300.0</v>
      </c>
      <c r="N100" s="180">
        <f t="shared" si="22"/>
        <v>4650</v>
      </c>
      <c r="O100" s="179">
        <f t="shared" si="23"/>
        <v>387.5</v>
      </c>
      <c r="P100" s="189" t="s">
        <v>404</v>
      </c>
      <c r="Q100" s="190"/>
      <c r="R100" s="190"/>
      <c r="S100" s="190"/>
      <c r="T100" s="190"/>
      <c r="U100" s="190"/>
      <c r="V100" s="190"/>
      <c r="W100" s="190"/>
      <c r="X100" s="190"/>
      <c r="Y100" s="190"/>
      <c r="Z100" s="190"/>
    </row>
    <row r="101" hidden="1" outlineLevel="1">
      <c r="A101" s="187" t="s">
        <v>405</v>
      </c>
      <c r="B101" s="179">
        <v>1000.0</v>
      </c>
      <c r="C101" s="179">
        <v>950.0</v>
      </c>
      <c r="D101" s="179">
        <v>400.0</v>
      </c>
      <c r="E101" s="179">
        <v>200.0</v>
      </c>
      <c r="F101" s="179">
        <v>200.0</v>
      </c>
      <c r="G101" s="179">
        <v>200.0</v>
      </c>
      <c r="H101" s="179">
        <v>200.0</v>
      </c>
      <c r="I101" s="179">
        <v>200.0</v>
      </c>
      <c r="J101" s="179">
        <v>200.0</v>
      </c>
      <c r="K101" s="179">
        <v>200.0</v>
      </c>
      <c r="L101" s="179">
        <v>200.0</v>
      </c>
      <c r="M101" s="179">
        <v>200.0</v>
      </c>
      <c r="N101" s="180">
        <f t="shared" si="22"/>
        <v>4150</v>
      </c>
      <c r="O101" s="179">
        <f t="shared" si="23"/>
        <v>345.8333333</v>
      </c>
      <c r="P101" s="189" t="s">
        <v>406</v>
      </c>
      <c r="Q101" s="190"/>
      <c r="R101" s="190"/>
      <c r="S101" s="190"/>
      <c r="T101" s="190"/>
      <c r="U101" s="190"/>
      <c r="V101" s="190"/>
      <c r="W101" s="190"/>
      <c r="X101" s="190"/>
      <c r="Y101" s="190"/>
      <c r="Z101" s="190"/>
    </row>
    <row r="102" hidden="1" outlineLevel="1">
      <c r="A102" s="187" t="s">
        <v>407</v>
      </c>
      <c r="B102" s="179">
        <v>270.0</v>
      </c>
      <c r="C102" s="179">
        <v>270.0</v>
      </c>
      <c r="D102" s="179">
        <v>270.0</v>
      </c>
      <c r="E102" s="179">
        <v>270.0</v>
      </c>
      <c r="F102" s="179">
        <v>270.0</v>
      </c>
      <c r="G102" s="179">
        <v>270.0</v>
      </c>
      <c r="H102" s="179">
        <v>270.0</v>
      </c>
      <c r="I102" s="179">
        <v>270.0</v>
      </c>
      <c r="J102" s="179">
        <v>270.0</v>
      </c>
      <c r="K102" s="179">
        <v>270.0</v>
      </c>
      <c r="L102" s="179">
        <v>270.0</v>
      </c>
      <c r="M102" s="179">
        <v>270.0</v>
      </c>
      <c r="N102" s="180">
        <f t="shared" si="22"/>
        <v>3240</v>
      </c>
      <c r="O102" s="179">
        <f t="shared" si="23"/>
        <v>270</v>
      </c>
      <c r="P102" s="189" t="s">
        <v>408</v>
      </c>
      <c r="Q102" s="190"/>
      <c r="R102" s="190"/>
      <c r="S102" s="190"/>
      <c r="T102" s="190"/>
      <c r="U102" s="190"/>
      <c r="V102" s="190"/>
      <c r="W102" s="190"/>
      <c r="X102" s="190"/>
      <c r="Y102" s="190"/>
      <c r="Z102" s="190"/>
    </row>
    <row r="103" hidden="1" outlineLevel="1">
      <c r="A103" s="187" t="s">
        <v>409</v>
      </c>
      <c r="B103" s="179">
        <v>250.0</v>
      </c>
      <c r="C103" s="179">
        <v>250.0</v>
      </c>
      <c r="D103" s="179">
        <v>250.0</v>
      </c>
      <c r="E103" s="179">
        <v>250.0</v>
      </c>
      <c r="F103" s="179">
        <v>250.0</v>
      </c>
      <c r="G103" s="179">
        <v>250.0</v>
      </c>
      <c r="H103" s="179">
        <v>250.0</v>
      </c>
      <c r="I103" s="179">
        <v>250.0</v>
      </c>
      <c r="J103" s="179">
        <v>250.0</v>
      </c>
      <c r="K103" s="179">
        <v>250.0</v>
      </c>
      <c r="L103" s="179">
        <v>250.0</v>
      </c>
      <c r="M103" s="179">
        <v>250.0</v>
      </c>
      <c r="N103" s="180">
        <f t="shared" si="22"/>
        <v>3000</v>
      </c>
      <c r="O103" s="179">
        <f t="shared" si="23"/>
        <v>250</v>
      </c>
      <c r="P103" s="189" t="s">
        <v>410</v>
      </c>
      <c r="Q103" s="190"/>
      <c r="R103" s="190"/>
      <c r="S103" s="190"/>
      <c r="T103" s="190"/>
      <c r="U103" s="190"/>
      <c r="V103" s="190"/>
      <c r="W103" s="190"/>
      <c r="X103" s="190"/>
      <c r="Y103" s="190"/>
      <c r="Z103" s="190"/>
    </row>
    <row r="104" hidden="1" outlineLevel="1">
      <c r="A104" s="187" t="s">
        <v>411</v>
      </c>
      <c r="B104" s="179">
        <v>180.0</v>
      </c>
      <c r="C104" s="179">
        <v>180.0</v>
      </c>
      <c r="D104" s="179">
        <v>180.0</v>
      </c>
      <c r="E104" s="179">
        <v>180.0</v>
      </c>
      <c r="F104" s="179">
        <v>180.0</v>
      </c>
      <c r="G104" s="179">
        <v>180.0</v>
      </c>
      <c r="H104" s="179">
        <v>180.0</v>
      </c>
      <c r="I104" s="179">
        <v>180.0</v>
      </c>
      <c r="J104" s="179">
        <v>180.0</v>
      </c>
      <c r="K104" s="179">
        <v>180.0</v>
      </c>
      <c r="L104" s="179">
        <v>180.0</v>
      </c>
      <c r="M104" s="179">
        <v>180.0</v>
      </c>
      <c r="N104" s="180">
        <f t="shared" si="22"/>
        <v>2160</v>
      </c>
      <c r="O104" s="179">
        <f t="shared" si="23"/>
        <v>180</v>
      </c>
      <c r="P104" s="189" t="s">
        <v>412</v>
      </c>
      <c r="Q104" s="190"/>
      <c r="R104" s="190"/>
      <c r="S104" s="190"/>
      <c r="T104" s="190"/>
      <c r="U104" s="190"/>
      <c r="V104" s="190"/>
      <c r="W104" s="190"/>
      <c r="X104" s="190"/>
      <c r="Y104" s="190"/>
      <c r="Z104" s="190"/>
    </row>
    <row r="105" hidden="1" outlineLevel="1">
      <c r="A105" s="187" t="s">
        <v>413</v>
      </c>
      <c r="B105" s="179">
        <v>75.0</v>
      </c>
      <c r="C105" s="179">
        <v>75.0</v>
      </c>
      <c r="D105" s="179">
        <v>75.0</v>
      </c>
      <c r="E105" s="179">
        <v>75.0</v>
      </c>
      <c r="F105" s="179">
        <v>75.0</v>
      </c>
      <c r="G105" s="179">
        <v>75.0</v>
      </c>
      <c r="H105" s="179">
        <v>75.0</v>
      </c>
      <c r="I105" s="179">
        <v>75.0</v>
      </c>
      <c r="J105" s="179">
        <v>75.0</v>
      </c>
      <c r="K105" s="179">
        <v>75.0</v>
      </c>
      <c r="L105" s="179">
        <v>75.0</v>
      </c>
      <c r="M105" s="179">
        <v>75.0</v>
      </c>
      <c r="N105" s="180">
        <f t="shared" si="22"/>
        <v>900</v>
      </c>
      <c r="O105" s="179">
        <f t="shared" si="23"/>
        <v>75</v>
      </c>
      <c r="P105" s="189" t="s">
        <v>414</v>
      </c>
      <c r="Q105" s="190"/>
      <c r="R105" s="190"/>
      <c r="S105" s="190"/>
      <c r="T105" s="190"/>
      <c r="U105" s="190"/>
      <c r="V105" s="190"/>
      <c r="W105" s="190"/>
      <c r="X105" s="190"/>
      <c r="Y105" s="190"/>
      <c r="Z105" s="190"/>
    </row>
    <row r="106" hidden="1" outlineLevel="1">
      <c r="A106" s="187" t="s">
        <v>415</v>
      </c>
      <c r="B106" s="179">
        <v>60.0</v>
      </c>
      <c r="C106" s="179">
        <v>60.0</v>
      </c>
      <c r="D106" s="179">
        <v>60.0</v>
      </c>
      <c r="E106" s="179">
        <v>60.0</v>
      </c>
      <c r="F106" s="179">
        <v>60.0</v>
      </c>
      <c r="G106" s="179">
        <v>60.0</v>
      </c>
      <c r="H106" s="179">
        <v>60.0</v>
      </c>
      <c r="I106" s="179">
        <v>60.0</v>
      </c>
      <c r="J106" s="179">
        <v>60.0</v>
      </c>
      <c r="K106" s="179">
        <v>60.0</v>
      </c>
      <c r="L106" s="179">
        <v>60.0</v>
      </c>
      <c r="M106" s="179">
        <v>60.0</v>
      </c>
      <c r="N106" s="180">
        <f t="shared" si="22"/>
        <v>720</v>
      </c>
      <c r="O106" s="179">
        <f t="shared" si="23"/>
        <v>60</v>
      </c>
      <c r="P106" s="189" t="s">
        <v>416</v>
      </c>
      <c r="Q106" s="190"/>
      <c r="R106" s="190"/>
      <c r="S106" s="190"/>
      <c r="T106" s="190"/>
      <c r="U106" s="190"/>
      <c r="V106" s="190"/>
      <c r="W106" s="190"/>
      <c r="X106" s="190"/>
      <c r="Y106" s="190"/>
      <c r="Z106" s="190"/>
    </row>
    <row r="107" hidden="1" outlineLevel="1">
      <c r="A107" s="187" t="s">
        <v>417</v>
      </c>
      <c r="B107" s="179">
        <v>10.0</v>
      </c>
      <c r="C107" s="179">
        <v>10.0</v>
      </c>
      <c r="D107" s="179">
        <v>10.0</v>
      </c>
      <c r="E107" s="179">
        <v>10.0</v>
      </c>
      <c r="F107" s="179">
        <v>10.0</v>
      </c>
      <c r="G107" s="179">
        <v>10.0</v>
      </c>
      <c r="H107" s="179">
        <v>10.0</v>
      </c>
      <c r="I107" s="179">
        <v>10.0</v>
      </c>
      <c r="J107" s="179">
        <v>10.0</v>
      </c>
      <c r="K107" s="179">
        <v>10.0</v>
      </c>
      <c r="L107" s="179">
        <v>10.0</v>
      </c>
      <c r="M107" s="179">
        <v>10.0</v>
      </c>
      <c r="N107" s="180">
        <f t="shared" si="22"/>
        <v>120</v>
      </c>
      <c r="O107" s="179">
        <f t="shared" si="23"/>
        <v>10</v>
      </c>
      <c r="P107" s="189" t="s">
        <v>418</v>
      </c>
      <c r="Q107" s="190"/>
      <c r="R107" s="190"/>
      <c r="S107" s="190"/>
      <c r="T107" s="190"/>
      <c r="U107" s="190"/>
      <c r="V107" s="190"/>
      <c r="W107" s="190"/>
      <c r="X107" s="190"/>
      <c r="Y107" s="190"/>
      <c r="Z107" s="190"/>
    </row>
    <row r="108" hidden="1" outlineLevel="1">
      <c r="A108" s="187" t="s">
        <v>419</v>
      </c>
      <c r="B108" s="179">
        <v>55.0</v>
      </c>
      <c r="C108" s="179">
        <v>55.0</v>
      </c>
      <c r="D108" s="179">
        <v>55.0</v>
      </c>
      <c r="E108" s="179">
        <v>55.0</v>
      </c>
      <c r="F108" s="179">
        <v>55.0</v>
      </c>
      <c r="G108" s="179">
        <v>55.0</v>
      </c>
      <c r="H108" s="179">
        <v>55.0</v>
      </c>
      <c r="I108" s="179">
        <v>55.0</v>
      </c>
      <c r="J108" s="179">
        <v>55.0</v>
      </c>
      <c r="K108" s="179">
        <v>55.0</v>
      </c>
      <c r="L108" s="179">
        <v>55.0</v>
      </c>
      <c r="M108" s="179">
        <v>55.0</v>
      </c>
      <c r="N108" s="180">
        <f t="shared" si="22"/>
        <v>660</v>
      </c>
      <c r="O108" s="179">
        <f t="shared" si="23"/>
        <v>55</v>
      </c>
      <c r="P108" s="189" t="s">
        <v>420</v>
      </c>
      <c r="Q108" s="190"/>
      <c r="R108" s="190"/>
      <c r="S108" s="190"/>
      <c r="T108" s="190"/>
      <c r="U108" s="190"/>
      <c r="V108" s="190"/>
      <c r="W108" s="190"/>
      <c r="X108" s="190"/>
      <c r="Y108" s="190"/>
      <c r="Z108" s="190"/>
    </row>
    <row r="109" hidden="1" outlineLevel="1">
      <c r="A109" s="187" t="s">
        <v>421</v>
      </c>
      <c r="B109" s="179">
        <v>1250.0</v>
      </c>
      <c r="C109" s="188"/>
      <c r="D109" s="188"/>
      <c r="E109" s="188"/>
      <c r="F109" s="188"/>
      <c r="G109" s="188"/>
      <c r="H109" s="188"/>
      <c r="I109" s="188"/>
      <c r="J109" s="188"/>
      <c r="K109" s="188"/>
      <c r="L109" s="188"/>
      <c r="M109" s="188"/>
      <c r="N109" s="180">
        <f t="shared" si="22"/>
        <v>1250</v>
      </c>
      <c r="O109" s="179">
        <f t="shared" si="23"/>
        <v>104.1666667</v>
      </c>
      <c r="P109" s="189" t="s">
        <v>422</v>
      </c>
      <c r="Q109" s="190"/>
      <c r="R109" s="190"/>
      <c r="S109" s="190"/>
      <c r="T109" s="190"/>
      <c r="U109" s="190"/>
      <c r="V109" s="190"/>
      <c r="W109" s="190"/>
      <c r="X109" s="190"/>
      <c r="Y109" s="190"/>
      <c r="Z109" s="190"/>
    </row>
    <row r="110" hidden="1" outlineLevel="1">
      <c r="A110" s="187" t="s">
        <v>423</v>
      </c>
      <c r="B110" s="188"/>
      <c r="C110" s="188"/>
      <c r="D110" s="188"/>
      <c r="E110" s="188"/>
      <c r="F110" s="188"/>
      <c r="G110" s="188"/>
      <c r="H110" s="188"/>
      <c r="I110" s="188"/>
      <c r="J110" s="188"/>
      <c r="K110" s="188"/>
      <c r="L110" s="188"/>
      <c r="M110" s="188"/>
      <c r="N110" s="180">
        <f t="shared" si="22"/>
        <v>0</v>
      </c>
      <c r="O110" s="179">
        <f t="shared" si="23"/>
        <v>0</v>
      </c>
      <c r="P110" s="189" t="s">
        <v>424</v>
      </c>
      <c r="Q110" s="190"/>
      <c r="R110" s="190"/>
      <c r="S110" s="190"/>
      <c r="T110" s="190"/>
      <c r="U110" s="190"/>
      <c r="V110" s="190"/>
      <c r="W110" s="190"/>
      <c r="X110" s="190"/>
      <c r="Y110" s="190"/>
      <c r="Z110" s="190"/>
    </row>
    <row r="111" hidden="1" outlineLevel="1">
      <c r="A111" s="187" t="s">
        <v>425</v>
      </c>
      <c r="B111" s="188"/>
      <c r="C111" s="188"/>
      <c r="D111" s="188"/>
      <c r="E111" s="188"/>
      <c r="F111" s="188"/>
      <c r="G111" s="188"/>
      <c r="H111" s="188"/>
      <c r="I111" s="188"/>
      <c r="J111" s="188"/>
      <c r="K111" s="188"/>
      <c r="L111" s="188"/>
      <c r="M111" s="188"/>
      <c r="N111" s="180">
        <f t="shared" si="22"/>
        <v>0</v>
      </c>
      <c r="O111" s="179">
        <f t="shared" si="23"/>
        <v>0</v>
      </c>
      <c r="P111" s="189" t="s">
        <v>426</v>
      </c>
      <c r="Q111" s="190"/>
      <c r="R111" s="190"/>
      <c r="S111" s="190"/>
      <c r="T111" s="190"/>
      <c r="U111" s="190"/>
      <c r="V111" s="190"/>
      <c r="W111" s="190"/>
      <c r="X111" s="190"/>
      <c r="Y111" s="190"/>
      <c r="Z111" s="190"/>
    </row>
    <row r="112" ht="15.75" customHeight="1" collapsed="1">
      <c r="A112" s="157" t="s">
        <v>427</v>
      </c>
      <c r="B112" s="179">
        <f>SUM(B92:B111)</f>
        <v>5735</v>
      </c>
      <c r="C112" s="179">
        <f>SUM(C93:C111)</f>
        <v>5445</v>
      </c>
      <c r="D112" s="179">
        <f t="shared" ref="D112:M112" si="24">SUM(D92:D111)</f>
        <v>4535</v>
      </c>
      <c r="E112" s="179">
        <f t="shared" si="24"/>
        <v>1650</v>
      </c>
      <c r="F112" s="179">
        <f t="shared" si="24"/>
        <v>1650</v>
      </c>
      <c r="G112" s="179">
        <f t="shared" si="24"/>
        <v>1650</v>
      </c>
      <c r="H112" s="179">
        <f t="shared" si="24"/>
        <v>1650</v>
      </c>
      <c r="I112" s="179">
        <f t="shared" si="24"/>
        <v>1650</v>
      </c>
      <c r="J112" s="179">
        <f t="shared" si="24"/>
        <v>1650</v>
      </c>
      <c r="K112" s="179">
        <f t="shared" si="24"/>
        <v>1650</v>
      </c>
      <c r="L112" s="179">
        <f t="shared" si="24"/>
        <v>1650</v>
      </c>
      <c r="M112" s="179">
        <f t="shared" si="24"/>
        <v>1650</v>
      </c>
      <c r="N112" s="180">
        <f t="shared" si="22"/>
        <v>30565</v>
      </c>
      <c r="O112" s="179"/>
      <c r="P112" s="182"/>
      <c r="Q112" s="160"/>
      <c r="R112" s="160"/>
      <c r="S112" s="160"/>
      <c r="T112" s="160"/>
      <c r="U112" s="160"/>
      <c r="V112" s="160"/>
      <c r="W112" s="160"/>
      <c r="X112" s="160"/>
      <c r="Y112" s="160"/>
      <c r="Z112" s="160"/>
    </row>
    <row r="113" ht="19.5" customHeight="1">
      <c r="A113" s="25" t="s">
        <v>428</v>
      </c>
      <c r="B113" s="153">
        <f t="shared" ref="B113:M113" si="25">B112</f>
        <v>5735</v>
      </c>
      <c r="C113" s="153">
        <f t="shared" si="25"/>
        <v>5445</v>
      </c>
      <c r="D113" s="153">
        <f t="shared" si="25"/>
        <v>4535</v>
      </c>
      <c r="E113" s="153">
        <f t="shared" si="25"/>
        <v>1650</v>
      </c>
      <c r="F113" s="153">
        <f t="shared" si="25"/>
        <v>1650</v>
      </c>
      <c r="G113" s="153">
        <f t="shared" si="25"/>
        <v>1650</v>
      </c>
      <c r="H113" s="153">
        <f t="shared" si="25"/>
        <v>1650</v>
      </c>
      <c r="I113" s="153">
        <f t="shared" si="25"/>
        <v>1650</v>
      </c>
      <c r="J113" s="153">
        <f t="shared" si="25"/>
        <v>1650</v>
      </c>
      <c r="K113" s="153">
        <f t="shared" si="25"/>
        <v>1650</v>
      </c>
      <c r="L113" s="153">
        <f t="shared" si="25"/>
        <v>1650</v>
      </c>
      <c r="M113" s="153">
        <f t="shared" si="25"/>
        <v>1650</v>
      </c>
      <c r="N113" s="55">
        <f t="shared" si="22"/>
        <v>30565</v>
      </c>
      <c r="O113" s="153">
        <f t="shared" ref="O113:O119" si="27">N113/12</f>
        <v>2547.083333</v>
      </c>
      <c r="P113" s="142" t="s">
        <v>429</v>
      </c>
      <c r="Q113" s="4"/>
      <c r="R113" s="4"/>
      <c r="S113" s="4"/>
      <c r="T113" s="4"/>
      <c r="U113" s="4"/>
      <c r="V113" s="4"/>
      <c r="W113" s="4"/>
      <c r="X113" s="4"/>
      <c r="Y113" s="4"/>
      <c r="Z113" s="4"/>
    </row>
    <row r="114" ht="19.5" customHeight="1">
      <c r="A114" s="86" t="s">
        <v>430</v>
      </c>
      <c r="B114" s="147">
        <f t="shared" ref="B114:M114" si="26">B58+B90+B112</f>
        <v>12312.95</v>
      </c>
      <c r="C114" s="147">
        <f t="shared" si="26"/>
        <v>10954.2</v>
      </c>
      <c r="D114" s="147">
        <f t="shared" si="26"/>
        <v>9923.2</v>
      </c>
      <c r="E114" s="147">
        <f t="shared" si="26"/>
        <v>6936.2</v>
      </c>
      <c r="F114" s="147">
        <f t="shared" si="26"/>
        <v>6886.2</v>
      </c>
      <c r="G114" s="147">
        <f t="shared" si="26"/>
        <v>6886.2</v>
      </c>
      <c r="H114" s="147">
        <f t="shared" si="26"/>
        <v>6886.2</v>
      </c>
      <c r="I114" s="147">
        <f t="shared" si="26"/>
        <v>7291.2</v>
      </c>
      <c r="J114" s="147">
        <f t="shared" si="26"/>
        <v>6886.2</v>
      </c>
      <c r="K114" s="147">
        <f t="shared" si="26"/>
        <v>6886.2</v>
      </c>
      <c r="L114" s="147">
        <f t="shared" si="26"/>
        <v>6886.2</v>
      </c>
      <c r="M114" s="147">
        <f t="shared" si="26"/>
        <v>7016.2</v>
      </c>
      <c r="N114" s="87">
        <f t="shared" si="22"/>
        <v>95751.15</v>
      </c>
      <c r="O114" s="148">
        <f t="shared" si="27"/>
        <v>7979.2625</v>
      </c>
      <c r="P114" s="149" t="s">
        <v>431</v>
      </c>
      <c r="Q114" s="4"/>
      <c r="R114" s="4"/>
      <c r="S114" s="4"/>
      <c r="T114" s="4"/>
      <c r="U114" s="4"/>
      <c r="V114" s="4"/>
      <c r="W114" s="4"/>
      <c r="X114" s="4"/>
      <c r="Y114" s="4"/>
      <c r="Z114" s="4"/>
    </row>
    <row r="115" ht="15.75" hidden="1" customHeight="1" outlineLevel="1">
      <c r="A115" s="27" t="s">
        <v>432</v>
      </c>
      <c r="B115" s="145"/>
      <c r="C115" s="143">
        <v>329.0</v>
      </c>
      <c r="D115" s="145"/>
      <c r="E115" s="145"/>
      <c r="F115" s="145"/>
      <c r="G115" s="145"/>
      <c r="H115" s="145"/>
      <c r="I115" s="145"/>
      <c r="J115" s="145"/>
      <c r="K115" s="145">
        <v>8000.0</v>
      </c>
      <c r="L115" s="145">
        <v>1000.0</v>
      </c>
      <c r="M115" s="145"/>
      <c r="N115" s="113">
        <f t="shared" si="22"/>
        <v>9329</v>
      </c>
      <c r="O115" s="28">
        <f t="shared" si="27"/>
        <v>777.4166667</v>
      </c>
      <c r="P115" s="114" t="s">
        <v>433</v>
      </c>
      <c r="Q115" s="4"/>
      <c r="R115" s="4"/>
      <c r="S115" s="4"/>
      <c r="T115" s="4"/>
      <c r="U115" s="4"/>
      <c r="V115" s="4"/>
      <c r="W115" s="4"/>
      <c r="X115" s="4"/>
      <c r="Y115" s="4"/>
      <c r="Z115" s="4"/>
    </row>
    <row r="116" ht="15.75" hidden="1" customHeight="1" outlineLevel="1">
      <c r="A116" s="30" t="s">
        <v>434</v>
      </c>
      <c r="B116" s="144"/>
      <c r="C116" s="144"/>
      <c r="D116" s="144"/>
      <c r="E116" s="144"/>
      <c r="F116" s="144"/>
      <c r="G116" s="144"/>
      <c r="H116" s="144"/>
      <c r="I116" s="144"/>
      <c r="J116" s="144"/>
      <c r="K116" s="144"/>
      <c r="L116" s="144">
        <v>15000.0</v>
      </c>
      <c r="M116" s="144"/>
      <c r="N116" s="116">
        <f t="shared" si="22"/>
        <v>15000</v>
      </c>
      <c r="O116" s="32">
        <f t="shared" si="27"/>
        <v>1250</v>
      </c>
      <c r="P116" s="84" t="s">
        <v>435</v>
      </c>
      <c r="Q116" s="4"/>
      <c r="R116" s="4"/>
      <c r="S116" s="4"/>
      <c r="T116" s="4"/>
      <c r="U116" s="4"/>
      <c r="V116" s="4"/>
      <c r="W116" s="4"/>
      <c r="X116" s="4"/>
      <c r="Y116" s="4"/>
      <c r="Z116" s="4"/>
    </row>
    <row r="117" ht="15.75" hidden="1" customHeight="1" outlineLevel="1">
      <c r="A117" s="27" t="s">
        <v>436</v>
      </c>
      <c r="B117" s="145"/>
      <c r="C117" s="179">
        <v>1212.0</v>
      </c>
      <c r="D117" s="145"/>
      <c r="E117" s="145"/>
      <c r="F117" s="145"/>
      <c r="G117" s="145"/>
      <c r="H117" s="145"/>
      <c r="I117" s="145"/>
      <c r="J117" s="145"/>
      <c r="K117" s="145"/>
      <c r="L117" s="145"/>
      <c r="M117" s="145"/>
      <c r="N117" s="113">
        <f t="shared" si="22"/>
        <v>1212</v>
      </c>
      <c r="O117" s="28">
        <f t="shared" si="27"/>
        <v>101</v>
      </c>
      <c r="P117" s="114" t="s">
        <v>437</v>
      </c>
      <c r="Q117" s="4"/>
      <c r="R117" s="4"/>
      <c r="S117" s="4"/>
      <c r="T117" s="4"/>
      <c r="U117" s="4"/>
      <c r="V117" s="4"/>
      <c r="W117" s="4"/>
      <c r="X117" s="4"/>
      <c r="Y117" s="4"/>
      <c r="Z117" s="4"/>
    </row>
    <row r="118" ht="19.5" customHeight="1" collapsed="1">
      <c r="A118" s="86" t="s">
        <v>438</v>
      </c>
      <c r="B118" s="147">
        <f t="shared" ref="B118:M118" si="28">SUM(B115:B117)</f>
        <v>0</v>
      </c>
      <c r="C118" s="147">
        <f t="shared" si="28"/>
        <v>1541</v>
      </c>
      <c r="D118" s="147">
        <f t="shared" si="28"/>
        <v>0</v>
      </c>
      <c r="E118" s="147">
        <f t="shared" si="28"/>
        <v>0</v>
      </c>
      <c r="F118" s="147">
        <f t="shared" si="28"/>
        <v>0</v>
      </c>
      <c r="G118" s="147">
        <f t="shared" si="28"/>
        <v>0</v>
      </c>
      <c r="H118" s="147">
        <f t="shared" si="28"/>
        <v>0</v>
      </c>
      <c r="I118" s="147">
        <f t="shared" si="28"/>
        <v>0</v>
      </c>
      <c r="J118" s="147">
        <f t="shared" si="28"/>
        <v>0</v>
      </c>
      <c r="K118" s="147">
        <f t="shared" si="28"/>
        <v>8000</v>
      </c>
      <c r="L118" s="147">
        <f t="shared" si="28"/>
        <v>16000</v>
      </c>
      <c r="M118" s="147">
        <f t="shared" si="28"/>
        <v>0</v>
      </c>
      <c r="N118" s="87">
        <f t="shared" si="22"/>
        <v>25541</v>
      </c>
      <c r="O118" s="148">
        <f t="shared" si="27"/>
        <v>2128.416667</v>
      </c>
      <c r="P118" s="149" t="s">
        <v>439</v>
      </c>
      <c r="Q118" s="4"/>
      <c r="R118" s="4"/>
      <c r="S118" s="4"/>
      <c r="T118" s="4"/>
      <c r="U118" s="4"/>
      <c r="V118" s="4"/>
      <c r="W118" s="4"/>
      <c r="X118" s="4"/>
      <c r="Y118" s="4"/>
      <c r="Z118" s="4"/>
    </row>
    <row r="119" ht="19.5" customHeight="1">
      <c r="A119" s="11" t="s">
        <v>440</v>
      </c>
      <c r="B119" s="191">
        <f t="shared" ref="B119:M119" si="29">B24-B114-B118</f>
        <v>-11712.95</v>
      </c>
      <c r="C119" s="191">
        <f t="shared" si="29"/>
        <v>-7145.2</v>
      </c>
      <c r="D119" s="191">
        <f t="shared" si="29"/>
        <v>-4078.2</v>
      </c>
      <c r="E119" s="191">
        <f t="shared" si="29"/>
        <v>-6586.2</v>
      </c>
      <c r="F119" s="191">
        <f t="shared" si="29"/>
        <v>-6536.2</v>
      </c>
      <c r="G119" s="191">
        <f t="shared" si="29"/>
        <v>-6536.2</v>
      </c>
      <c r="H119" s="191">
        <f t="shared" si="29"/>
        <v>-6536.2</v>
      </c>
      <c r="I119" s="191">
        <f t="shared" si="29"/>
        <v>-6941.2</v>
      </c>
      <c r="J119" s="191">
        <f t="shared" si="29"/>
        <v>-6536.2</v>
      </c>
      <c r="K119" s="191">
        <f t="shared" si="29"/>
        <v>-14536.2</v>
      </c>
      <c r="L119" s="191">
        <f t="shared" si="29"/>
        <v>-22536.2</v>
      </c>
      <c r="M119" s="191">
        <f t="shared" si="29"/>
        <v>260.42</v>
      </c>
      <c r="N119" s="191">
        <f t="shared" si="22"/>
        <v>-99420.53</v>
      </c>
      <c r="O119" s="191">
        <f t="shared" si="27"/>
        <v>-8285.044167</v>
      </c>
      <c r="P119" s="192" t="s">
        <v>441</v>
      </c>
      <c r="Q119" s="4"/>
      <c r="R119" s="4"/>
      <c r="S119" s="4"/>
      <c r="T119" s="4"/>
      <c r="U119" s="4"/>
      <c r="V119" s="4"/>
      <c r="W119" s="4"/>
      <c r="X119" s="4"/>
      <c r="Y119" s="4"/>
      <c r="Z119" s="4"/>
    </row>
    <row r="120" ht="19.5" customHeight="1">
      <c r="A120" s="11" t="s">
        <v>442</v>
      </c>
      <c r="B120" s="11"/>
      <c r="C120" s="11"/>
      <c r="D120" s="11"/>
      <c r="E120" s="11"/>
      <c r="F120" s="11"/>
      <c r="G120" s="11"/>
      <c r="H120" s="11"/>
      <c r="I120" s="11"/>
      <c r="J120" s="11"/>
      <c r="K120" s="11"/>
      <c r="L120" s="11"/>
      <c r="M120" s="11"/>
      <c r="N120" s="11"/>
      <c r="O120" s="11"/>
      <c r="P120" s="11"/>
      <c r="Q120" s="4"/>
      <c r="R120" s="4"/>
      <c r="S120" s="4"/>
      <c r="T120" s="4"/>
      <c r="U120" s="4"/>
      <c r="V120" s="4"/>
      <c r="W120" s="4"/>
      <c r="X120" s="4"/>
      <c r="Y120" s="4"/>
      <c r="Z120" s="4"/>
    </row>
    <row r="121" ht="19.5" customHeight="1">
      <c r="A121" s="25" t="s">
        <v>443</v>
      </c>
      <c r="B121" s="26"/>
      <c r="C121" s="26"/>
      <c r="D121" s="26"/>
      <c r="E121" s="26"/>
      <c r="F121" s="26"/>
      <c r="G121" s="26"/>
      <c r="H121" s="26"/>
      <c r="I121" s="26"/>
      <c r="J121" s="26"/>
      <c r="K121" s="26"/>
      <c r="L121" s="26"/>
      <c r="M121" s="26"/>
      <c r="N121" s="26"/>
      <c r="O121" s="26"/>
      <c r="P121" s="26"/>
      <c r="Q121" s="4"/>
      <c r="R121" s="4"/>
      <c r="S121" s="4"/>
      <c r="T121" s="4"/>
      <c r="U121" s="4"/>
      <c r="V121" s="4"/>
      <c r="W121" s="4"/>
      <c r="X121" s="4"/>
      <c r="Y121" s="4"/>
      <c r="Z121" s="4"/>
    </row>
    <row r="122" ht="15.75" hidden="1" customHeight="1" outlineLevel="1">
      <c r="A122" s="30" t="s">
        <v>444</v>
      </c>
      <c r="B122" s="81">
        <v>9122.0</v>
      </c>
      <c r="C122" s="81">
        <v>9122.0</v>
      </c>
      <c r="D122" s="81">
        <v>9122.0</v>
      </c>
      <c r="E122" s="81"/>
      <c r="F122" s="81"/>
      <c r="G122" s="81"/>
      <c r="H122" s="81"/>
      <c r="I122" s="81"/>
      <c r="J122" s="81"/>
      <c r="K122" s="81"/>
      <c r="L122" s="81"/>
      <c r="M122" s="81"/>
      <c r="N122" s="116">
        <f t="shared" ref="N122:N124" si="30">SUM(B122:M122)</f>
        <v>27366</v>
      </c>
      <c r="O122" s="32">
        <f t="shared" ref="O122:O124" si="31">N122/12</f>
        <v>2280.5</v>
      </c>
      <c r="P122" s="84" t="s">
        <v>445</v>
      </c>
      <c r="Q122" s="4"/>
      <c r="R122" s="4"/>
      <c r="S122" s="4"/>
      <c r="T122" s="4"/>
      <c r="U122" s="4"/>
      <c r="V122" s="4"/>
      <c r="W122" s="4"/>
      <c r="X122" s="4"/>
      <c r="Y122" s="4"/>
      <c r="Z122" s="4"/>
    </row>
    <row r="123" ht="15.75" hidden="1" customHeight="1" outlineLevel="1">
      <c r="A123" s="27" t="s">
        <v>446</v>
      </c>
      <c r="B123" s="81"/>
      <c r="C123" s="81"/>
      <c r="D123" s="81"/>
      <c r="E123" s="81">
        <v>2500.0</v>
      </c>
      <c r="F123" s="81">
        <v>2500.0</v>
      </c>
      <c r="G123" s="81">
        <v>2500.0</v>
      </c>
      <c r="H123" s="81">
        <v>2500.0</v>
      </c>
      <c r="I123" s="81">
        <v>2500.0</v>
      </c>
      <c r="J123" s="81">
        <v>2500.0</v>
      </c>
      <c r="K123" s="81">
        <v>2500.0</v>
      </c>
      <c r="L123" s="81">
        <v>2500.0</v>
      </c>
      <c r="M123" s="81">
        <v>2500.0</v>
      </c>
      <c r="N123" s="113">
        <f t="shared" si="30"/>
        <v>22500</v>
      </c>
      <c r="O123" s="28">
        <f t="shared" si="31"/>
        <v>1875</v>
      </c>
      <c r="P123" s="114" t="s">
        <v>447</v>
      </c>
      <c r="Q123" s="4"/>
      <c r="R123" s="4"/>
      <c r="S123" s="4"/>
      <c r="T123" s="4"/>
      <c r="U123" s="4"/>
      <c r="V123" s="4"/>
      <c r="W123" s="4"/>
      <c r="X123" s="4"/>
      <c r="Y123" s="4"/>
      <c r="Z123" s="4"/>
    </row>
    <row r="124" ht="19.5" customHeight="1" collapsed="1">
      <c r="A124" s="25" t="s">
        <v>448</v>
      </c>
      <c r="B124" s="153">
        <f t="shared" ref="B124:M124" si="32">SUM(B122:B123)</f>
        <v>9122</v>
      </c>
      <c r="C124" s="153">
        <f t="shared" si="32"/>
        <v>9122</v>
      </c>
      <c r="D124" s="153">
        <f t="shared" si="32"/>
        <v>9122</v>
      </c>
      <c r="E124" s="153">
        <f t="shared" si="32"/>
        <v>2500</v>
      </c>
      <c r="F124" s="153">
        <f t="shared" si="32"/>
        <v>2500</v>
      </c>
      <c r="G124" s="153">
        <f t="shared" si="32"/>
        <v>2500</v>
      </c>
      <c r="H124" s="153">
        <f t="shared" si="32"/>
        <v>2500</v>
      </c>
      <c r="I124" s="153">
        <f t="shared" si="32"/>
        <v>2500</v>
      </c>
      <c r="J124" s="153">
        <f t="shared" si="32"/>
        <v>2500</v>
      </c>
      <c r="K124" s="153">
        <f t="shared" si="32"/>
        <v>2500</v>
      </c>
      <c r="L124" s="153">
        <f t="shared" si="32"/>
        <v>2500</v>
      </c>
      <c r="M124" s="153">
        <f t="shared" si="32"/>
        <v>2500</v>
      </c>
      <c r="N124" s="55">
        <f t="shared" si="30"/>
        <v>49866</v>
      </c>
      <c r="O124" s="153">
        <f t="shared" si="31"/>
        <v>4155.5</v>
      </c>
      <c r="P124" s="142" t="s">
        <v>449</v>
      </c>
      <c r="Q124" s="4"/>
      <c r="R124" s="4"/>
      <c r="S124" s="4"/>
      <c r="T124" s="4"/>
      <c r="U124" s="4"/>
      <c r="V124" s="4"/>
      <c r="W124" s="4"/>
      <c r="X124" s="4"/>
      <c r="Y124" s="4"/>
      <c r="Z124" s="4"/>
    </row>
    <row r="125" ht="19.5" customHeight="1">
      <c r="A125" s="25" t="s">
        <v>450</v>
      </c>
      <c r="B125" s="26"/>
      <c r="C125" s="26"/>
      <c r="D125" s="26"/>
      <c r="E125" s="26"/>
      <c r="F125" s="26"/>
      <c r="G125" s="26"/>
      <c r="H125" s="26"/>
      <c r="I125" s="26"/>
      <c r="J125" s="26"/>
      <c r="K125" s="26"/>
      <c r="L125" s="26"/>
      <c r="M125" s="26"/>
      <c r="N125" s="26"/>
      <c r="O125" s="26"/>
      <c r="P125" s="26"/>
      <c r="Q125" s="4"/>
      <c r="R125" s="4"/>
      <c r="S125" s="4"/>
      <c r="T125" s="4"/>
      <c r="U125" s="4"/>
      <c r="V125" s="4"/>
      <c r="W125" s="4"/>
      <c r="X125" s="4"/>
      <c r="Y125" s="4"/>
      <c r="Z125" s="4"/>
    </row>
    <row r="126" hidden="1" outlineLevel="1">
      <c r="A126" s="30" t="s">
        <v>451</v>
      </c>
      <c r="B126" s="32">
        <v>3500.0</v>
      </c>
      <c r="C126" s="32"/>
      <c r="D126" s="32"/>
      <c r="E126" s="32">
        <v>3500.0</v>
      </c>
      <c r="F126" s="32"/>
      <c r="G126" s="32"/>
      <c r="H126" s="32">
        <v>3500.0</v>
      </c>
      <c r="I126" s="32"/>
      <c r="J126" s="32"/>
      <c r="K126" s="32">
        <v>3500.0</v>
      </c>
      <c r="L126" s="32"/>
      <c r="M126" s="32"/>
      <c r="N126" s="116">
        <f t="shared" ref="N126:N131" si="33">SUM(B126:M126)</f>
        <v>14000</v>
      </c>
      <c r="O126" s="32">
        <f t="shared" ref="O126:O131" si="34">N126/12</f>
        <v>1166.666667</v>
      </c>
      <c r="P126" s="84" t="s">
        <v>452</v>
      </c>
      <c r="Q126" s="4"/>
      <c r="R126" s="4"/>
      <c r="S126" s="4"/>
      <c r="T126" s="4"/>
      <c r="U126" s="4"/>
      <c r="V126" s="4"/>
      <c r="W126" s="4"/>
      <c r="X126" s="4"/>
      <c r="Y126" s="4"/>
      <c r="Z126" s="4"/>
    </row>
    <row r="127" ht="15.75" hidden="1" customHeight="1" outlineLevel="1">
      <c r="A127" s="27" t="s">
        <v>453</v>
      </c>
      <c r="B127" s="28">
        <v>246.67</v>
      </c>
      <c r="C127" s="28">
        <v>246.67</v>
      </c>
      <c r="D127" s="28">
        <v>246.67</v>
      </c>
      <c r="E127" s="28">
        <v>246.67</v>
      </c>
      <c r="F127" s="28">
        <v>246.67</v>
      </c>
      <c r="G127" s="28">
        <v>246.67</v>
      </c>
      <c r="H127" s="28">
        <v>246.67</v>
      </c>
      <c r="I127" s="28">
        <v>246.67</v>
      </c>
      <c r="J127" s="28">
        <v>246.67</v>
      </c>
      <c r="K127" s="28">
        <v>246.67</v>
      </c>
      <c r="L127" s="28">
        <v>246.67</v>
      </c>
      <c r="M127" s="28">
        <v>246.67</v>
      </c>
      <c r="N127" s="113">
        <f t="shared" si="33"/>
        <v>2960.04</v>
      </c>
      <c r="O127" s="28">
        <f t="shared" si="34"/>
        <v>246.67</v>
      </c>
      <c r="P127" s="114" t="s">
        <v>454</v>
      </c>
      <c r="Q127" s="4"/>
      <c r="R127" s="4"/>
      <c r="S127" s="4"/>
      <c r="T127" s="4"/>
      <c r="U127" s="4"/>
      <c r="V127" s="4"/>
      <c r="W127" s="4"/>
      <c r="X127" s="4"/>
      <c r="Y127" s="4"/>
      <c r="Z127" s="4"/>
    </row>
    <row r="128" ht="15.75" hidden="1" customHeight="1" outlineLevel="1">
      <c r="A128" s="27" t="s">
        <v>455</v>
      </c>
      <c r="B128" s="32"/>
      <c r="C128" s="32"/>
      <c r="D128" s="32"/>
      <c r="E128" s="32"/>
      <c r="F128" s="32">
        <v>300.0</v>
      </c>
      <c r="G128" s="32"/>
      <c r="H128" s="32"/>
      <c r="I128" s="32">
        <v>300.0</v>
      </c>
      <c r="J128" s="32"/>
      <c r="K128" s="32"/>
      <c r="L128" s="32">
        <v>300.0</v>
      </c>
      <c r="M128" s="32"/>
      <c r="N128" s="113">
        <f t="shared" si="33"/>
        <v>900</v>
      </c>
      <c r="O128" s="28">
        <f t="shared" si="34"/>
        <v>75</v>
      </c>
      <c r="P128" s="84" t="s">
        <v>456</v>
      </c>
      <c r="Q128" s="4"/>
      <c r="R128" s="4"/>
      <c r="S128" s="4"/>
      <c r="T128" s="4"/>
      <c r="U128" s="4"/>
      <c r="V128" s="4"/>
      <c r="W128" s="4"/>
      <c r="X128" s="4"/>
      <c r="Y128" s="4"/>
      <c r="Z128" s="4"/>
    </row>
    <row r="129" ht="15.75" hidden="1" customHeight="1" outlineLevel="1">
      <c r="A129" s="30" t="s">
        <v>457</v>
      </c>
      <c r="B129" s="32">
        <v>311.84</v>
      </c>
      <c r="C129" s="32">
        <v>311.84</v>
      </c>
      <c r="D129" s="32">
        <v>311.84</v>
      </c>
      <c r="E129" s="32">
        <v>311.84</v>
      </c>
      <c r="F129" s="32">
        <v>311.84</v>
      </c>
      <c r="G129" s="32">
        <v>311.84</v>
      </c>
      <c r="H129" s="32">
        <v>311.84</v>
      </c>
      <c r="I129" s="32">
        <v>311.84</v>
      </c>
      <c r="J129" s="32">
        <v>311.84</v>
      </c>
      <c r="K129" s="32">
        <v>311.84</v>
      </c>
      <c r="L129" s="32">
        <v>311.84</v>
      </c>
      <c r="M129" s="32">
        <v>311.84</v>
      </c>
      <c r="N129" s="116">
        <f t="shared" si="33"/>
        <v>3742.08</v>
      </c>
      <c r="O129" s="32">
        <f t="shared" si="34"/>
        <v>311.84</v>
      </c>
      <c r="P129" s="84" t="s">
        <v>458</v>
      </c>
      <c r="Q129" s="4"/>
      <c r="R129" s="4"/>
      <c r="S129" s="4"/>
      <c r="T129" s="4"/>
      <c r="U129" s="4"/>
      <c r="V129" s="4"/>
      <c r="W129" s="4"/>
      <c r="X129" s="4"/>
      <c r="Y129" s="4"/>
      <c r="Z129" s="4"/>
    </row>
    <row r="130" ht="15.75" hidden="1" customHeight="1" outlineLevel="1">
      <c r="A130" s="27" t="s">
        <v>459</v>
      </c>
      <c r="B130" s="28">
        <v>100.0</v>
      </c>
      <c r="C130" s="28">
        <v>100.0</v>
      </c>
      <c r="D130" s="28">
        <v>100.0</v>
      </c>
      <c r="E130" s="28">
        <v>100.0</v>
      </c>
      <c r="F130" s="28">
        <v>100.0</v>
      </c>
      <c r="G130" s="28">
        <v>100.0</v>
      </c>
      <c r="H130" s="28">
        <v>100.0</v>
      </c>
      <c r="I130" s="28">
        <v>100.0</v>
      </c>
      <c r="J130" s="28">
        <v>100.0</v>
      </c>
      <c r="K130" s="28">
        <v>100.0</v>
      </c>
      <c r="L130" s="28">
        <v>100.0</v>
      </c>
      <c r="M130" s="28">
        <v>100.0</v>
      </c>
      <c r="N130" s="113">
        <f t="shared" si="33"/>
        <v>1200</v>
      </c>
      <c r="O130" s="28">
        <f t="shared" si="34"/>
        <v>100</v>
      </c>
      <c r="P130" s="114" t="s">
        <v>458</v>
      </c>
      <c r="Q130" s="4"/>
      <c r="R130" s="4"/>
      <c r="S130" s="4"/>
      <c r="T130" s="4"/>
      <c r="U130" s="4"/>
      <c r="V130" s="4"/>
      <c r="W130" s="4"/>
      <c r="X130" s="4"/>
      <c r="Y130" s="4"/>
      <c r="Z130" s="4"/>
    </row>
    <row r="131" ht="19.5" customHeight="1" collapsed="1">
      <c r="A131" s="25" t="s">
        <v>460</v>
      </c>
      <c r="B131" s="153">
        <f t="shared" ref="B131:M131" si="35">SUM(B126:B130)</f>
        <v>4158.51</v>
      </c>
      <c r="C131" s="153">
        <f t="shared" si="35"/>
        <v>658.51</v>
      </c>
      <c r="D131" s="153">
        <f t="shared" si="35"/>
        <v>658.51</v>
      </c>
      <c r="E131" s="153">
        <f t="shared" si="35"/>
        <v>4158.51</v>
      </c>
      <c r="F131" s="153">
        <f t="shared" si="35"/>
        <v>958.51</v>
      </c>
      <c r="G131" s="153">
        <f t="shared" si="35"/>
        <v>658.51</v>
      </c>
      <c r="H131" s="153">
        <f t="shared" si="35"/>
        <v>4158.51</v>
      </c>
      <c r="I131" s="153">
        <f t="shared" si="35"/>
        <v>958.51</v>
      </c>
      <c r="J131" s="153">
        <f t="shared" si="35"/>
        <v>658.51</v>
      </c>
      <c r="K131" s="153">
        <f t="shared" si="35"/>
        <v>4158.51</v>
      </c>
      <c r="L131" s="153">
        <f t="shared" si="35"/>
        <v>958.51</v>
      </c>
      <c r="M131" s="153">
        <f t="shared" si="35"/>
        <v>658.51</v>
      </c>
      <c r="N131" s="55">
        <f t="shared" si="33"/>
        <v>22802.12</v>
      </c>
      <c r="O131" s="153">
        <f t="shared" si="34"/>
        <v>1900.176667</v>
      </c>
      <c r="P131" s="59"/>
      <c r="Q131" s="4"/>
      <c r="R131" s="4"/>
      <c r="S131" s="4"/>
      <c r="T131" s="4"/>
      <c r="U131" s="4"/>
      <c r="V131" s="4"/>
      <c r="W131" s="4"/>
      <c r="X131" s="4"/>
      <c r="Y131" s="4"/>
      <c r="Z131" s="4"/>
    </row>
    <row r="132" ht="19.5" customHeight="1">
      <c r="A132" s="25" t="s">
        <v>461</v>
      </c>
      <c r="B132" s="26"/>
      <c r="C132" s="26"/>
      <c r="D132" s="26"/>
      <c r="E132" s="26"/>
      <c r="F132" s="26"/>
      <c r="G132" s="26"/>
      <c r="H132" s="26"/>
      <c r="I132" s="26"/>
      <c r="J132" s="26"/>
      <c r="K132" s="26"/>
      <c r="L132" s="26"/>
      <c r="M132" s="26"/>
      <c r="N132" s="26"/>
      <c r="O132" s="26"/>
      <c r="P132" s="26"/>
      <c r="Q132" s="4"/>
      <c r="R132" s="4"/>
      <c r="S132" s="4"/>
      <c r="T132" s="4"/>
      <c r="U132" s="4"/>
      <c r="V132" s="4"/>
      <c r="W132" s="4"/>
      <c r="X132" s="4"/>
      <c r="Y132" s="4"/>
      <c r="Z132" s="4"/>
    </row>
    <row r="133" ht="15.75" hidden="1" customHeight="1" outlineLevel="1">
      <c r="A133" s="30" t="s">
        <v>462</v>
      </c>
      <c r="B133" s="32">
        <v>200.0</v>
      </c>
      <c r="C133" s="32">
        <v>200.0</v>
      </c>
      <c r="D133" s="32">
        <v>200.0</v>
      </c>
      <c r="E133" s="32"/>
      <c r="F133" s="32"/>
      <c r="G133" s="32"/>
      <c r="H133" s="32"/>
      <c r="I133" s="32"/>
      <c r="J133" s="32"/>
      <c r="K133" s="32"/>
      <c r="L133" s="32"/>
      <c r="M133" s="32"/>
      <c r="N133" s="116">
        <f t="shared" ref="N133:N137" si="36">SUM(B133:M133)</f>
        <v>600</v>
      </c>
      <c r="O133" s="32">
        <f t="shared" ref="O133:O134" si="37">N133/12</f>
        <v>50</v>
      </c>
      <c r="P133" s="84" t="s">
        <v>463</v>
      </c>
      <c r="Q133" s="4"/>
      <c r="R133" s="4"/>
      <c r="S133" s="4"/>
      <c r="T133" s="4"/>
      <c r="U133" s="4"/>
      <c r="V133" s="4"/>
      <c r="W133" s="4"/>
      <c r="X133" s="4"/>
      <c r="Y133" s="4"/>
      <c r="Z133" s="4"/>
    </row>
    <row r="134" ht="15.75" hidden="1" customHeight="1" outlineLevel="1">
      <c r="A134" s="27" t="s">
        <v>464</v>
      </c>
      <c r="B134" s="28">
        <v>429.33</v>
      </c>
      <c r="C134" s="28">
        <v>429.33</v>
      </c>
      <c r="D134" s="28">
        <v>429.33</v>
      </c>
      <c r="E134" s="28"/>
      <c r="F134" s="28"/>
      <c r="G134" s="28"/>
      <c r="H134" s="28"/>
      <c r="I134" s="28"/>
      <c r="J134" s="28"/>
      <c r="K134" s="28"/>
      <c r="L134" s="28"/>
      <c r="M134" s="28"/>
      <c r="N134" s="113">
        <f t="shared" si="36"/>
        <v>1287.99</v>
      </c>
      <c r="O134" s="28">
        <f t="shared" si="37"/>
        <v>107.3325</v>
      </c>
      <c r="P134" s="114" t="s">
        <v>465</v>
      </c>
      <c r="Q134" s="4"/>
      <c r="R134" s="4"/>
      <c r="S134" s="4"/>
      <c r="T134" s="4"/>
      <c r="U134" s="4"/>
      <c r="V134" s="4"/>
      <c r="W134" s="4"/>
      <c r="X134" s="4"/>
      <c r="Y134" s="4"/>
      <c r="Z134" s="4"/>
    </row>
    <row r="135" ht="15.75" hidden="1" customHeight="1" outlineLevel="1">
      <c r="A135" s="30" t="s">
        <v>466</v>
      </c>
      <c r="B135" s="32"/>
      <c r="C135" s="32"/>
      <c r="D135" s="32"/>
      <c r="E135" s="32">
        <v>200.0</v>
      </c>
      <c r="F135" s="32">
        <v>200.0</v>
      </c>
      <c r="G135" s="32">
        <v>200.0</v>
      </c>
      <c r="H135" s="32">
        <v>200.0</v>
      </c>
      <c r="I135" s="32">
        <v>200.0</v>
      </c>
      <c r="J135" s="32">
        <v>200.0</v>
      </c>
      <c r="K135" s="32">
        <v>200.0</v>
      </c>
      <c r="L135" s="32">
        <v>200.0</v>
      </c>
      <c r="M135" s="32">
        <v>200.0</v>
      </c>
      <c r="N135" s="113">
        <f t="shared" si="36"/>
        <v>1800</v>
      </c>
      <c r="O135" s="32"/>
      <c r="P135" s="84"/>
      <c r="Q135" s="4"/>
      <c r="R135" s="4"/>
      <c r="S135" s="4"/>
      <c r="T135" s="4"/>
      <c r="U135" s="4"/>
      <c r="V135" s="4"/>
      <c r="W135" s="4"/>
      <c r="X135" s="4"/>
      <c r="Y135" s="4"/>
      <c r="Z135" s="4"/>
    </row>
    <row r="136" ht="15.75" hidden="1" customHeight="1" outlineLevel="1">
      <c r="A136" s="30" t="s">
        <v>467</v>
      </c>
      <c r="B136" s="32">
        <v>208.92</v>
      </c>
      <c r="C136" s="32">
        <v>208.92</v>
      </c>
      <c r="D136" s="32">
        <v>208.92</v>
      </c>
      <c r="E136" s="32">
        <v>208.92</v>
      </c>
      <c r="F136" s="32">
        <v>208.92</v>
      </c>
      <c r="G136" s="32">
        <v>208.92</v>
      </c>
      <c r="H136" s="32">
        <v>208.92</v>
      </c>
      <c r="I136" s="32">
        <v>208.92</v>
      </c>
      <c r="J136" s="32">
        <v>208.92</v>
      </c>
      <c r="K136" s="32">
        <v>208.92</v>
      </c>
      <c r="L136" s="32">
        <v>208.92</v>
      </c>
      <c r="M136" s="32">
        <v>208.92</v>
      </c>
      <c r="N136" s="116">
        <f t="shared" si="36"/>
        <v>2507.04</v>
      </c>
      <c r="O136" s="32">
        <f t="shared" ref="O136:O137" si="39">N136/12</f>
        <v>208.92</v>
      </c>
      <c r="P136" s="84" t="s">
        <v>468</v>
      </c>
      <c r="Q136" s="4"/>
      <c r="R136" s="4"/>
      <c r="S136" s="4"/>
      <c r="T136" s="4"/>
      <c r="U136" s="4"/>
      <c r="V136" s="4"/>
      <c r="W136" s="4"/>
      <c r="X136" s="4"/>
      <c r="Y136" s="4"/>
      <c r="Z136" s="4"/>
    </row>
    <row r="137" ht="19.5" customHeight="1" collapsed="1">
      <c r="A137" s="25" t="s">
        <v>469</v>
      </c>
      <c r="B137" s="153">
        <f t="shared" ref="B137:M137" si="38">SUM(B133:B136)</f>
        <v>838.25</v>
      </c>
      <c r="C137" s="153">
        <f t="shared" si="38"/>
        <v>838.25</v>
      </c>
      <c r="D137" s="153">
        <f t="shared" si="38"/>
        <v>838.25</v>
      </c>
      <c r="E137" s="153">
        <f t="shared" si="38"/>
        <v>408.92</v>
      </c>
      <c r="F137" s="153">
        <f t="shared" si="38"/>
        <v>408.92</v>
      </c>
      <c r="G137" s="153">
        <f t="shared" si="38"/>
        <v>408.92</v>
      </c>
      <c r="H137" s="153">
        <f t="shared" si="38"/>
        <v>408.92</v>
      </c>
      <c r="I137" s="153">
        <f t="shared" si="38"/>
        <v>408.92</v>
      </c>
      <c r="J137" s="153">
        <f t="shared" si="38"/>
        <v>408.92</v>
      </c>
      <c r="K137" s="153">
        <f t="shared" si="38"/>
        <v>408.92</v>
      </c>
      <c r="L137" s="153">
        <f t="shared" si="38"/>
        <v>408.92</v>
      </c>
      <c r="M137" s="153">
        <f t="shared" si="38"/>
        <v>408.92</v>
      </c>
      <c r="N137" s="55">
        <f t="shared" si="36"/>
        <v>6195.03</v>
      </c>
      <c r="O137" s="153">
        <f t="shared" si="39"/>
        <v>516.2525</v>
      </c>
      <c r="P137" s="59"/>
      <c r="Q137" s="4"/>
      <c r="R137" s="4"/>
      <c r="S137" s="4"/>
      <c r="T137" s="4"/>
      <c r="U137" s="4"/>
      <c r="V137" s="4"/>
      <c r="W137" s="4"/>
      <c r="X137" s="4"/>
      <c r="Y137" s="4"/>
      <c r="Z137" s="4"/>
    </row>
    <row r="138" ht="19.5" customHeight="1">
      <c r="A138" s="25" t="s">
        <v>470</v>
      </c>
      <c r="B138" s="26"/>
      <c r="C138" s="26"/>
      <c r="D138" s="26"/>
      <c r="E138" s="26"/>
      <c r="F138" s="26"/>
      <c r="G138" s="26"/>
      <c r="H138" s="26"/>
      <c r="I138" s="26"/>
      <c r="J138" s="26"/>
      <c r="K138" s="26"/>
      <c r="L138" s="26"/>
      <c r="M138" s="26"/>
      <c r="N138" s="26"/>
      <c r="O138" s="26"/>
      <c r="P138" s="26"/>
      <c r="Q138" s="4"/>
      <c r="R138" s="4"/>
      <c r="S138" s="4"/>
      <c r="T138" s="4"/>
      <c r="U138" s="4"/>
      <c r="V138" s="4"/>
      <c r="W138" s="4"/>
      <c r="X138" s="4"/>
      <c r="Y138" s="4"/>
      <c r="Z138" s="4"/>
    </row>
    <row r="139" ht="15.75" hidden="1" customHeight="1" outlineLevel="1">
      <c r="A139" s="27" t="s">
        <v>471</v>
      </c>
      <c r="B139" s="28">
        <v>468.36</v>
      </c>
      <c r="C139" s="28">
        <v>468.36</v>
      </c>
      <c r="D139" s="28">
        <v>468.36</v>
      </c>
      <c r="E139" s="28">
        <v>468.36</v>
      </c>
      <c r="F139" s="28">
        <v>468.36</v>
      </c>
      <c r="G139" s="28">
        <v>468.36</v>
      </c>
      <c r="H139" s="28">
        <v>468.36</v>
      </c>
      <c r="I139" s="28">
        <v>468.36</v>
      </c>
      <c r="J139" s="28">
        <v>468.36</v>
      </c>
      <c r="K139" s="28">
        <v>468.36</v>
      </c>
      <c r="L139" s="28">
        <v>468.36</v>
      </c>
      <c r="M139" s="28">
        <v>468.36</v>
      </c>
      <c r="N139" s="113">
        <f t="shared" ref="N139:N147" si="40">SUM(B139:M139)</f>
        <v>5620.32</v>
      </c>
      <c r="O139" s="28">
        <f t="shared" ref="O139:O147" si="41">N139/12</f>
        <v>468.36</v>
      </c>
      <c r="P139" s="114" t="s">
        <v>458</v>
      </c>
      <c r="Q139" s="4"/>
      <c r="R139" s="4"/>
      <c r="S139" s="4"/>
      <c r="T139" s="4"/>
      <c r="U139" s="4"/>
      <c r="V139" s="4"/>
      <c r="W139" s="4"/>
      <c r="X139" s="4"/>
      <c r="Y139" s="4"/>
      <c r="Z139" s="4"/>
    </row>
    <row r="140" ht="15.75" hidden="1" customHeight="1" outlineLevel="1">
      <c r="A140" s="30" t="s">
        <v>472</v>
      </c>
      <c r="B140" s="32">
        <v>506.43</v>
      </c>
      <c r="C140" s="32">
        <v>506.43</v>
      </c>
      <c r="D140" s="32">
        <v>506.43</v>
      </c>
      <c r="E140" s="32">
        <v>506.43</v>
      </c>
      <c r="F140" s="32">
        <v>506.43</v>
      </c>
      <c r="G140" s="32">
        <v>506.43</v>
      </c>
      <c r="H140" s="32">
        <v>506.43</v>
      </c>
      <c r="I140" s="32">
        <v>506.43</v>
      </c>
      <c r="J140" s="32">
        <v>506.43</v>
      </c>
      <c r="K140" s="32">
        <v>506.43</v>
      </c>
      <c r="L140" s="32">
        <v>506.43</v>
      </c>
      <c r="M140" s="32">
        <v>506.43</v>
      </c>
      <c r="N140" s="116">
        <f t="shared" si="40"/>
        <v>6077.16</v>
      </c>
      <c r="O140" s="32">
        <f t="shared" si="41"/>
        <v>506.43</v>
      </c>
      <c r="P140" s="84" t="s">
        <v>458</v>
      </c>
      <c r="Q140" s="4"/>
      <c r="R140" s="4"/>
      <c r="S140" s="4"/>
      <c r="T140" s="4"/>
      <c r="U140" s="4"/>
      <c r="V140" s="4"/>
      <c r="W140" s="4"/>
      <c r="X140" s="4"/>
      <c r="Y140" s="4"/>
      <c r="Z140" s="4"/>
    </row>
    <row r="141" ht="15.75" hidden="1" customHeight="1" outlineLevel="1">
      <c r="A141" s="27" t="s">
        <v>473</v>
      </c>
      <c r="B141" s="28">
        <v>114.56</v>
      </c>
      <c r="C141" s="28">
        <v>114.56</v>
      </c>
      <c r="D141" s="28">
        <v>114.56</v>
      </c>
      <c r="E141" s="28">
        <v>114.56</v>
      </c>
      <c r="F141" s="28">
        <v>114.56</v>
      </c>
      <c r="G141" s="28">
        <v>114.56</v>
      </c>
      <c r="H141" s="28">
        <v>114.56</v>
      </c>
      <c r="I141" s="28">
        <v>114.56</v>
      </c>
      <c r="J141" s="28">
        <v>114.56</v>
      </c>
      <c r="K141" s="28">
        <v>114.56</v>
      </c>
      <c r="L141" s="28">
        <v>114.56</v>
      </c>
      <c r="M141" s="28">
        <v>114.56</v>
      </c>
      <c r="N141" s="113">
        <f t="shared" si="40"/>
        <v>1374.72</v>
      </c>
      <c r="O141" s="28">
        <f t="shared" si="41"/>
        <v>114.56</v>
      </c>
      <c r="P141" s="114" t="s">
        <v>458</v>
      </c>
      <c r="Q141" s="4"/>
      <c r="R141" s="4"/>
      <c r="S141" s="4"/>
      <c r="T141" s="4"/>
      <c r="U141" s="4"/>
      <c r="V141" s="4"/>
      <c r="W141" s="4"/>
      <c r="X141" s="4"/>
      <c r="Y141" s="4"/>
      <c r="Z141" s="4"/>
    </row>
    <row r="142" ht="15.75" hidden="1" customHeight="1" outlineLevel="1">
      <c r="A142" s="30" t="s">
        <v>474</v>
      </c>
      <c r="B142" s="32">
        <v>46.81</v>
      </c>
      <c r="C142" s="32">
        <v>919.81</v>
      </c>
      <c r="D142" s="32">
        <v>46.81</v>
      </c>
      <c r="E142" s="32">
        <v>46.81</v>
      </c>
      <c r="F142" s="32">
        <v>46.81</v>
      </c>
      <c r="G142" s="32">
        <v>46.81</v>
      </c>
      <c r="H142" s="32">
        <v>46.81</v>
      </c>
      <c r="I142" s="32">
        <v>46.81</v>
      </c>
      <c r="J142" s="32">
        <v>46.81</v>
      </c>
      <c r="K142" s="32">
        <v>46.81</v>
      </c>
      <c r="L142" s="32">
        <v>46.81</v>
      </c>
      <c r="M142" s="32">
        <v>46.81</v>
      </c>
      <c r="N142" s="116">
        <f t="shared" si="40"/>
        <v>1434.72</v>
      </c>
      <c r="O142" s="32">
        <f t="shared" si="41"/>
        <v>119.56</v>
      </c>
      <c r="P142" s="84" t="s">
        <v>475</v>
      </c>
      <c r="Q142" s="4"/>
      <c r="R142" s="4"/>
      <c r="S142" s="4"/>
      <c r="T142" s="4"/>
      <c r="U142" s="4"/>
      <c r="V142" s="4"/>
      <c r="W142" s="4"/>
      <c r="X142" s="4"/>
      <c r="Y142" s="4"/>
      <c r="Z142" s="4"/>
    </row>
    <row r="143" ht="15.75" hidden="1" customHeight="1" outlineLevel="1">
      <c r="A143" s="27" t="s">
        <v>476</v>
      </c>
      <c r="B143" s="28">
        <v>32.92</v>
      </c>
      <c r="C143" s="28">
        <v>32.92</v>
      </c>
      <c r="D143" s="28">
        <v>32.92</v>
      </c>
      <c r="E143" s="28">
        <v>32.92</v>
      </c>
      <c r="F143" s="28">
        <v>32.92</v>
      </c>
      <c r="G143" s="28">
        <v>32.92</v>
      </c>
      <c r="H143" s="28">
        <v>32.92</v>
      </c>
      <c r="I143" s="28">
        <v>32.92</v>
      </c>
      <c r="J143" s="28">
        <v>32.92</v>
      </c>
      <c r="K143" s="28">
        <v>32.92</v>
      </c>
      <c r="L143" s="28">
        <v>32.92</v>
      </c>
      <c r="M143" s="81">
        <v>1132.92</v>
      </c>
      <c r="N143" s="113">
        <f t="shared" si="40"/>
        <v>1495.04</v>
      </c>
      <c r="O143" s="28">
        <f t="shared" si="41"/>
        <v>124.5866667</v>
      </c>
      <c r="P143" s="114" t="s">
        <v>477</v>
      </c>
      <c r="Q143" s="4"/>
      <c r="R143" s="4"/>
      <c r="S143" s="4"/>
      <c r="T143" s="4"/>
      <c r="U143" s="4"/>
      <c r="V143" s="4"/>
      <c r="W143" s="4"/>
      <c r="X143" s="4"/>
      <c r="Y143" s="4"/>
      <c r="Z143" s="4"/>
    </row>
    <row r="144" ht="19.5" customHeight="1" collapsed="1">
      <c r="A144" s="25" t="s">
        <v>478</v>
      </c>
      <c r="B144" s="153">
        <f t="shared" ref="B144:M144" si="42">SUM(B139:B143)</f>
        <v>1169.08</v>
      </c>
      <c r="C144" s="153">
        <f t="shared" si="42"/>
        <v>2042.08</v>
      </c>
      <c r="D144" s="153">
        <f t="shared" si="42"/>
        <v>1169.08</v>
      </c>
      <c r="E144" s="153">
        <f t="shared" si="42"/>
        <v>1169.08</v>
      </c>
      <c r="F144" s="153">
        <f t="shared" si="42"/>
        <v>1169.08</v>
      </c>
      <c r="G144" s="153">
        <f t="shared" si="42"/>
        <v>1169.08</v>
      </c>
      <c r="H144" s="153">
        <f t="shared" si="42"/>
        <v>1169.08</v>
      </c>
      <c r="I144" s="153">
        <f t="shared" si="42"/>
        <v>1169.08</v>
      </c>
      <c r="J144" s="153">
        <f t="shared" si="42"/>
        <v>1169.08</v>
      </c>
      <c r="K144" s="153">
        <f t="shared" si="42"/>
        <v>1169.08</v>
      </c>
      <c r="L144" s="153">
        <f t="shared" si="42"/>
        <v>1169.08</v>
      </c>
      <c r="M144" s="153">
        <f t="shared" si="42"/>
        <v>2269.08</v>
      </c>
      <c r="N144" s="55">
        <f t="shared" si="40"/>
        <v>16001.96</v>
      </c>
      <c r="O144" s="153">
        <f t="shared" si="41"/>
        <v>1333.496667</v>
      </c>
      <c r="P144" s="59"/>
      <c r="Q144" s="4"/>
      <c r="R144" s="4"/>
      <c r="S144" s="4"/>
      <c r="T144" s="4"/>
      <c r="U144" s="4"/>
      <c r="V144" s="4"/>
      <c r="W144" s="4"/>
      <c r="X144" s="4"/>
      <c r="Y144" s="4"/>
      <c r="Z144" s="4"/>
    </row>
    <row r="145" ht="19.5" customHeight="1">
      <c r="A145" s="25" t="s">
        <v>479</v>
      </c>
      <c r="B145" s="55">
        <v>941.67</v>
      </c>
      <c r="C145" s="55">
        <v>941.67</v>
      </c>
      <c r="D145" s="55">
        <v>941.67</v>
      </c>
      <c r="E145" s="55">
        <v>941.67</v>
      </c>
      <c r="F145" s="55">
        <v>941.67</v>
      </c>
      <c r="G145" s="55">
        <v>941.67</v>
      </c>
      <c r="H145" s="55">
        <v>941.67</v>
      </c>
      <c r="I145" s="55">
        <v>941.67</v>
      </c>
      <c r="J145" s="55">
        <v>941.67</v>
      </c>
      <c r="K145" s="55">
        <v>941.67</v>
      </c>
      <c r="L145" s="55">
        <v>941.67</v>
      </c>
      <c r="M145" s="55">
        <v>941.67</v>
      </c>
      <c r="N145" s="55">
        <f t="shared" si="40"/>
        <v>11300.04</v>
      </c>
      <c r="O145" s="55">
        <f t="shared" si="41"/>
        <v>941.67</v>
      </c>
      <c r="P145" s="142" t="s">
        <v>480</v>
      </c>
      <c r="Q145" s="4"/>
      <c r="R145" s="4"/>
      <c r="S145" s="4"/>
      <c r="T145" s="4"/>
      <c r="U145" s="4"/>
      <c r="V145" s="4"/>
      <c r="W145" s="4"/>
      <c r="X145" s="4"/>
      <c r="Y145" s="4"/>
      <c r="Z145" s="4"/>
    </row>
    <row r="146" ht="19.5" customHeight="1">
      <c r="A146" s="25" t="s">
        <v>481</v>
      </c>
      <c r="B146" s="185">
        <v>1000.0</v>
      </c>
      <c r="C146" s="185">
        <v>1000.0</v>
      </c>
      <c r="D146" s="185">
        <v>1000.0</v>
      </c>
      <c r="E146" s="185">
        <v>1000.0</v>
      </c>
      <c r="F146" s="185">
        <v>1000.0</v>
      </c>
      <c r="G146" s="185">
        <v>1000.0</v>
      </c>
      <c r="H146" s="185">
        <v>1000.0</v>
      </c>
      <c r="I146" s="185">
        <v>1000.0</v>
      </c>
      <c r="J146" s="185">
        <v>1000.0</v>
      </c>
      <c r="K146" s="185">
        <v>1000.0</v>
      </c>
      <c r="L146" s="185">
        <v>1000.0</v>
      </c>
      <c r="M146" s="185">
        <v>1000.0</v>
      </c>
      <c r="N146" s="55">
        <f t="shared" si="40"/>
        <v>12000</v>
      </c>
      <c r="O146" s="55">
        <f t="shared" si="41"/>
        <v>1000</v>
      </c>
      <c r="P146" s="142"/>
      <c r="Q146" s="4"/>
      <c r="R146" s="4"/>
      <c r="S146" s="4"/>
      <c r="T146" s="4"/>
      <c r="U146" s="4"/>
      <c r="V146" s="4"/>
      <c r="W146" s="4"/>
      <c r="X146" s="4"/>
      <c r="Y146" s="4"/>
      <c r="Z146" s="4"/>
    </row>
    <row r="147" ht="19.5" customHeight="1">
      <c r="A147" s="193" t="s">
        <v>482</v>
      </c>
      <c r="B147" s="55"/>
      <c r="C147" s="55"/>
      <c r="D147" s="186">
        <v>500.0</v>
      </c>
      <c r="E147" s="186">
        <v>500.0</v>
      </c>
      <c r="F147" s="186">
        <v>500.0</v>
      </c>
      <c r="G147" s="186">
        <v>500.0</v>
      </c>
      <c r="H147" s="186">
        <v>500.0</v>
      </c>
      <c r="I147" s="186">
        <v>500.0</v>
      </c>
      <c r="J147" s="186">
        <v>500.0</v>
      </c>
      <c r="K147" s="186">
        <v>500.0</v>
      </c>
      <c r="L147" s="186">
        <v>500.0</v>
      </c>
      <c r="M147" s="186">
        <v>500.0</v>
      </c>
      <c r="N147" s="55">
        <f t="shared" si="40"/>
        <v>5000</v>
      </c>
      <c r="O147" s="55">
        <f t="shared" si="41"/>
        <v>416.6666667</v>
      </c>
      <c r="P147" s="142" t="s">
        <v>483</v>
      </c>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86" t="s">
        <v>484</v>
      </c>
      <c r="B149" s="147">
        <f t="shared" ref="B149:M149" si="43">B124+B131+B137+B144+B145+B146+B94+B147</f>
        <v>17229.51</v>
      </c>
      <c r="C149" s="147">
        <f t="shared" si="43"/>
        <v>15602.51</v>
      </c>
      <c r="D149" s="147">
        <f t="shared" si="43"/>
        <v>15229.51</v>
      </c>
      <c r="E149" s="147">
        <f t="shared" si="43"/>
        <v>10678.18</v>
      </c>
      <c r="F149" s="147">
        <f t="shared" si="43"/>
        <v>7478.18</v>
      </c>
      <c r="G149" s="147">
        <f t="shared" si="43"/>
        <v>7178.18</v>
      </c>
      <c r="H149" s="147">
        <f t="shared" si="43"/>
        <v>10678.18</v>
      </c>
      <c r="I149" s="147">
        <f t="shared" si="43"/>
        <v>7478.18</v>
      </c>
      <c r="J149" s="147">
        <f t="shared" si="43"/>
        <v>7178.18</v>
      </c>
      <c r="K149" s="147">
        <f t="shared" si="43"/>
        <v>10678.18</v>
      </c>
      <c r="L149" s="147">
        <f t="shared" si="43"/>
        <v>7478.18</v>
      </c>
      <c r="M149" s="147">
        <f t="shared" si="43"/>
        <v>8278.18</v>
      </c>
      <c r="N149" s="87">
        <f t="shared" ref="N149:N151" si="44">SUM(B149:M149)</f>
        <v>125165.15</v>
      </c>
      <c r="O149" s="148">
        <f t="shared" ref="O149:O151" si="45">N149/12</f>
        <v>10430.42917</v>
      </c>
      <c r="P149" s="149" t="s">
        <v>485</v>
      </c>
      <c r="Q149" s="4"/>
      <c r="R149" s="4"/>
      <c r="S149" s="4"/>
      <c r="T149" s="4"/>
      <c r="U149" s="4"/>
      <c r="V149" s="4"/>
      <c r="W149" s="4"/>
      <c r="X149" s="4"/>
      <c r="Y149" s="4"/>
      <c r="Z149" s="4"/>
    </row>
    <row r="150" ht="19.5" customHeight="1">
      <c r="A150" s="86" t="s">
        <v>486</v>
      </c>
      <c r="B150" s="87"/>
      <c r="C150" s="87"/>
      <c r="D150" s="87"/>
      <c r="E150" s="87"/>
      <c r="F150" s="87"/>
      <c r="G150" s="87"/>
      <c r="H150" s="87"/>
      <c r="I150" s="87"/>
      <c r="J150" s="87"/>
      <c r="K150" s="87">
        <v>35000.0</v>
      </c>
      <c r="L150" s="87"/>
      <c r="M150" s="87"/>
      <c r="N150" s="87">
        <f t="shared" si="44"/>
        <v>35000</v>
      </c>
      <c r="O150" s="87">
        <f t="shared" si="45"/>
        <v>2916.666667</v>
      </c>
      <c r="P150" s="149" t="s">
        <v>435</v>
      </c>
      <c r="Q150" s="4"/>
      <c r="R150" s="4"/>
      <c r="S150" s="4"/>
      <c r="T150" s="4"/>
      <c r="U150" s="4"/>
      <c r="V150" s="4"/>
      <c r="W150" s="4"/>
      <c r="X150" s="4"/>
      <c r="Y150" s="4"/>
      <c r="Z150" s="4"/>
    </row>
    <row r="151" ht="15.75" customHeight="1">
      <c r="A151" s="11" t="s">
        <v>487</v>
      </c>
      <c r="B151" s="191">
        <f t="shared" ref="B151:M151" si="46">-(B149+B150)</f>
        <v>-17229.51</v>
      </c>
      <c r="C151" s="191">
        <f t="shared" si="46"/>
        <v>-15602.51</v>
      </c>
      <c r="D151" s="191">
        <f t="shared" si="46"/>
        <v>-15229.51</v>
      </c>
      <c r="E151" s="191">
        <f t="shared" si="46"/>
        <v>-10678.18</v>
      </c>
      <c r="F151" s="191">
        <f t="shared" si="46"/>
        <v>-7478.18</v>
      </c>
      <c r="G151" s="191">
        <f t="shared" si="46"/>
        <v>-7178.18</v>
      </c>
      <c r="H151" s="191">
        <f t="shared" si="46"/>
        <v>-10678.18</v>
      </c>
      <c r="I151" s="191">
        <f t="shared" si="46"/>
        <v>-7478.18</v>
      </c>
      <c r="J151" s="191">
        <f t="shared" si="46"/>
        <v>-7178.18</v>
      </c>
      <c r="K151" s="191">
        <f t="shared" si="46"/>
        <v>-45678.18</v>
      </c>
      <c r="L151" s="191">
        <f t="shared" si="46"/>
        <v>-7478.18</v>
      </c>
      <c r="M151" s="191">
        <f t="shared" si="46"/>
        <v>-8278.18</v>
      </c>
      <c r="N151" s="191">
        <f t="shared" si="44"/>
        <v>-160165.15</v>
      </c>
      <c r="O151" s="191">
        <f t="shared" si="45"/>
        <v>-13347.09583</v>
      </c>
      <c r="P151" s="192" t="s">
        <v>488</v>
      </c>
      <c r="Q151" s="4"/>
      <c r="R151" s="4"/>
      <c r="S151" s="4"/>
      <c r="T151" s="4"/>
      <c r="U151" s="4"/>
      <c r="V151" s="4"/>
      <c r="W151" s="4"/>
      <c r="X151" s="4"/>
      <c r="Y151" s="4"/>
      <c r="Z151" s="4"/>
    </row>
    <row r="152" ht="15.75" customHeight="1">
      <c r="A152" s="11" t="s">
        <v>489</v>
      </c>
      <c r="B152" s="11"/>
      <c r="C152" s="11"/>
      <c r="D152" s="11"/>
      <c r="E152" s="11"/>
      <c r="F152" s="11"/>
      <c r="G152" s="11"/>
      <c r="H152" s="11"/>
      <c r="I152" s="11"/>
      <c r="J152" s="11"/>
      <c r="K152" s="11"/>
      <c r="L152" s="11"/>
      <c r="M152" s="11"/>
      <c r="N152" s="11"/>
      <c r="O152" s="11"/>
      <c r="P152" s="11"/>
      <c r="Q152" s="4"/>
      <c r="R152" s="4"/>
      <c r="S152" s="4"/>
      <c r="T152" s="4"/>
      <c r="U152" s="4"/>
      <c r="V152" s="4"/>
      <c r="W152" s="4"/>
      <c r="X152" s="4"/>
      <c r="Y152" s="4"/>
      <c r="Z152" s="4"/>
    </row>
    <row r="153" ht="15.75" customHeight="1" outlineLevel="1">
      <c r="A153" s="30" t="s">
        <v>490</v>
      </c>
      <c r="B153" s="81"/>
      <c r="C153" s="81"/>
      <c r="D153" s="62">
        <v>1950000.0</v>
      </c>
      <c r="E153" s="81"/>
      <c r="F153" s="81"/>
      <c r="G153" s="81"/>
      <c r="H153" s="81"/>
      <c r="I153" s="81"/>
      <c r="J153" s="81"/>
      <c r="K153" s="81"/>
      <c r="L153" s="81"/>
      <c r="M153" s="81"/>
      <c r="N153" s="116">
        <f t="shared" ref="N153:N158" si="47">SUM(B153:M153)</f>
        <v>1950000</v>
      </c>
      <c r="O153" s="32">
        <f t="shared" ref="O153:O157" si="48">N153/12</f>
        <v>162500</v>
      </c>
      <c r="P153" s="84" t="s">
        <v>491</v>
      </c>
      <c r="Q153" s="4"/>
      <c r="R153" s="4"/>
      <c r="S153" s="4"/>
      <c r="T153" s="4"/>
      <c r="U153" s="4"/>
      <c r="V153" s="4"/>
      <c r="W153" s="4"/>
      <c r="X153" s="4"/>
      <c r="Y153" s="4"/>
      <c r="Z153" s="4"/>
    </row>
    <row r="154" ht="15.75" customHeight="1" outlineLevel="1">
      <c r="A154" s="27" t="s">
        <v>492</v>
      </c>
      <c r="B154" s="81"/>
      <c r="C154" s="81"/>
      <c r="D154" s="81">
        <v>-1455827.58</v>
      </c>
      <c r="E154" s="81"/>
      <c r="F154" s="81"/>
      <c r="G154" s="81"/>
      <c r="H154" s="81"/>
      <c r="I154" s="81"/>
      <c r="J154" s="81"/>
      <c r="K154" s="81"/>
      <c r="L154" s="81"/>
      <c r="M154" s="81"/>
      <c r="N154" s="113">
        <f t="shared" si="47"/>
        <v>-1455827.58</v>
      </c>
      <c r="O154" s="28">
        <f t="shared" si="48"/>
        <v>-121318.965</v>
      </c>
      <c r="P154" s="114" t="s">
        <v>493</v>
      </c>
      <c r="Q154" s="4"/>
      <c r="R154" s="4"/>
      <c r="S154" s="4"/>
      <c r="T154" s="4"/>
      <c r="U154" s="4"/>
      <c r="V154" s="4"/>
      <c r="W154" s="4"/>
      <c r="X154" s="4"/>
      <c r="Y154" s="4"/>
      <c r="Z154" s="4"/>
    </row>
    <row r="155" ht="15.75" customHeight="1" outlineLevel="1">
      <c r="A155" s="30" t="s">
        <v>494</v>
      </c>
      <c r="B155" s="81"/>
      <c r="C155" s="81"/>
      <c r="D155" s="81">
        <v>-30000.0</v>
      </c>
      <c r="E155" s="81"/>
      <c r="F155" s="81"/>
      <c r="G155" s="81"/>
      <c r="H155" s="81"/>
      <c r="I155" s="81"/>
      <c r="J155" s="81"/>
      <c r="K155" s="81"/>
      <c r="L155" s="81"/>
      <c r="M155" s="81"/>
      <c r="N155" s="116">
        <f t="shared" si="47"/>
        <v>-30000</v>
      </c>
      <c r="O155" s="32">
        <f t="shared" si="48"/>
        <v>-2500</v>
      </c>
      <c r="P155" s="84" t="s">
        <v>495</v>
      </c>
      <c r="Q155" s="4"/>
      <c r="R155" s="4"/>
      <c r="S155" s="4"/>
      <c r="T155" s="4"/>
      <c r="U155" s="4"/>
      <c r="V155" s="4"/>
      <c r="W155" s="4"/>
      <c r="X155" s="4"/>
      <c r="Y155" s="4"/>
      <c r="Z155" s="4"/>
    </row>
    <row r="156" ht="19.5" customHeight="1" outlineLevel="1">
      <c r="A156" s="27" t="s">
        <v>496</v>
      </c>
      <c r="B156" s="81"/>
      <c r="C156" s="81"/>
      <c r="D156" s="194">
        <v>1980.0</v>
      </c>
      <c r="E156" s="81"/>
      <c r="F156" s="81"/>
      <c r="G156" s="81"/>
      <c r="H156" s="81"/>
      <c r="I156" s="81"/>
      <c r="J156" s="81"/>
      <c r="K156" s="81"/>
      <c r="L156" s="81"/>
      <c r="M156" s="81"/>
      <c r="N156" s="113">
        <f t="shared" si="47"/>
        <v>1980</v>
      </c>
      <c r="O156" s="28">
        <f t="shared" si="48"/>
        <v>165</v>
      </c>
      <c r="P156" s="114" t="s">
        <v>497</v>
      </c>
      <c r="Q156" s="4"/>
      <c r="R156" s="4"/>
      <c r="S156" s="4"/>
      <c r="T156" s="4"/>
      <c r="U156" s="4"/>
      <c r="V156" s="4"/>
      <c r="W156" s="4"/>
      <c r="X156" s="4"/>
      <c r="Y156" s="4"/>
      <c r="Z156" s="4"/>
    </row>
    <row r="157" ht="19.5" customHeight="1" outlineLevel="1">
      <c r="A157" s="30" t="s">
        <v>498</v>
      </c>
      <c r="B157" s="81"/>
      <c r="C157" s="81"/>
      <c r="D157" s="194">
        <v>1000.0</v>
      </c>
      <c r="E157" s="81"/>
      <c r="F157" s="81"/>
      <c r="G157" s="81"/>
      <c r="H157" s="81"/>
      <c r="I157" s="81"/>
      <c r="J157" s="81"/>
      <c r="K157" s="81"/>
      <c r="L157" s="81"/>
      <c r="M157" s="81"/>
      <c r="N157" s="116">
        <f t="shared" si="47"/>
        <v>1000</v>
      </c>
      <c r="O157" s="32">
        <f t="shared" si="48"/>
        <v>83.33333333</v>
      </c>
      <c r="P157" s="195" t="s">
        <v>499</v>
      </c>
      <c r="Q157" s="4"/>
      <c r="R157" s="4"/>
      <c r="S157" s="4"/>
      <c r="T157" s="4"/>
      <c r="U157" s="4"/>
      <c r="V157" s="4"/>
      <c r="W157" s="4"/>
      <c r="X157" s="4"/>
      <c r="Y157" s="4"/>
      <c r="Z157" s="4"/>
    </row>
    <row r="158" ht="19.5" customHeight="1">
      <c r="A158" s="11" t="s">
        <v>500</v>
      </c>
      <c r="B158" s="191"/>
      <c r="C158" s="191"/>
      <c r="D158" s="191">
        <f>SUM(D153:D157)</f>
        <v>467152.42</v>
      </c>
      <c r="E158" s="191"/>
      <c r="F158" s="191"/>
      <c r="G158" s="191"/>
      <c r="H158" s="191"/>
      <c r="I158" s="191"/>
      <c r="J158" s="191"/>
      <c r="K158" s="191"/>
      <c r="L158" s="191"/>
      <c r="M158" s="191"/>
      <c r="N158" s="191">
        <f t="shared" si="47"/>
        <v>467152.42</v>
      </c>
      <c r="O158" s="191"/>
      <c r="P158" s="192" t="s">
        <v>501</v>
      </c>
      <c r="Q158" s="4"/>
      <c r="R158" s="4"/>
      <c r="S158" s="4"/>
      <c r="T158" s="4"/>
      <c r="U158" s="4"/>
      <c r="V158" s="4"/>
      <c r="W158" s="4"/>
      <c r="X158" s="4"/>
      <c r="Y158" s="4"/>
      <c r="Z158" s="4"/>
    </row>
    <row r="159" ht="15.75" customHeight="1">
      <c r="A159" s="11" t="s">
        <v>502</v>
      </c>
      <c r="B159" s="11"/>
      <c r="C159" s="11"/>
      <c r="D159" s="11"/>
      <c r="E159" s="11"/>
      <c r="F159" s="11"/>
      <c r="G159" s="11"/>
      <c r="H159" s="11"/>
      <c r="I159" s="11"/>
      <c r="J159" s="11"/>
      <c r="K159" s="11"/>
      <c r="L159" s="11"/>
      <c r="M159" s="11"/>
      <c r="N159" s="11"/>
      <c r="O159" s="11"/>
      <c r="P159" s="11"/>
      <c r="Q159" s="4"/>
      <c r="R159" s="4"/>
      <c r="S159" s="4"/>
      <c r="T159" s="4"/>
      <c r="U159" s="4"/>
      <c r="V159" s="4"/>
      <c r="W159" s="4"/>
      <c r="X159" s="4"/>
      <c r="Y159" s="4"/>
      <c r="Z159" s="4"/>
    </row>
    <row r="160">
      <c r="A160" s="30" t="s">
        <v>503</v>
      </c>
      <c r="B160" s="81"/>
      <c r="C160" s="81">
        <v>25000.0</v>
      </c>
      <c r="D160" s="62"/>
      <c r="E160" s="81"/>
      <c r="F160" s="81"/>
      <c r="G160" s="81"/>
      <c r="H160" s="81"/>
      <c r="I160" s="81"/>
      <c r="J160" s="81"/>
      <c r="K160" s="81"/>
      <c r="L160" s="81"/>
      <c r="M160" s="81"/>
      <c r="N160" s="116">
        <f t="shared" ref="N160:N163" si="49">SUM(B160:M160)</f>
        <v>25000</v>
      </c>
      <c r="O160" s="32">
        <f t="shared" ref="O160:O161" si="50">N160/12</f>
        <v>2083.333333</v>
      </c>
      <c r="P160" s="84" t="s">
        <v>504</v>
      </c>
      <c r="Q160" s="4"/>
      <c r="R160" s="4"/>
      <c r="S160" s="4"/>
      <c r="T160" s="4"/>
      <c r="U160" s="4"/>
      <c r="V160" s="4"/>
      <c r="W160" s="4"/>
      <c r="X160" s="4"/>
      <c r="Y160" s="4"/>
      <c r="Z160" s="4"/>
    </row>
    <row r="161" ht="15.75" customHeight="1">
      <c r="A161" s="30" t="s">
        <v>505</v>
      </c>
      <c r="B161" s="81"/>
      <c r="C161" s="81"/>
      <c r="D161" s="62">
        <v>-25000.0</v>
      </c>
      <c r="E161" s="81"/>
      <c r="F161" s="81"/>
      <c r="G161" s="81"/>
      <c r="H161" s="81"/>
      <c r="I161" s="81"/>
      <c r="J161" s="81"/>
      <c r="K161" s="81"/>
      <c r="L161" s="81"/>
      <c r="M161" s="81"/>
      <c r="N161" s="116">
        <f t="shared" si="49"/>
        <v>-25000</v>
      </c>
      <c r="O161" s="32">
        <f t="shared" si="50"/>
        <v>-2083.333333</v>
      </c>
      <c r="P161" s="84" t="s">
        <v>506</v>
      </c>
      <c r="Q161" s="4"/>
      <c r="R161" s="4"/>
      <c r="S161" s="4"/>
      <c r="T161" s="4"/>
      <c r="U161" s="4"/>
      <c r="V161" s="4"/>
      <c r="W161" s="4"/>
      <c r="X161" s="4"/>
      <c r="Y161" s="4"/>
      <c r="Z161" s="4"/>
    </row>
    <row r="162" ht="15.75" customHeight="1">
      <c r="A162" s="11" t="s">
        <v>507</v>
      </c>
      <c r="B162" s="191">
        <f t="shared" ref="B162:M162" si="51">SUM(B160:B161)</f>
        <v>0</v>
      </c>
      <c r="C162" s="191">
        <f t="shared" si="51"/>
        <v>25000</v>
      </c>
      <c r="D162" s="191">
        <f t="shared" si="51"/>
        <v>-25000</v>
      </c>
      <c r="E162" s="191">
        <f t="shared" si="51"/>
        <v>0</v>
      </c>
      <c r="F162" s="191">
        <f t="shared" si="51"/>
        <v>0</v>
      </c>
      <c r="G162" s="191">
        <f t="shared" si="51"/>
        <v>0</v>
      </c>
      <c r="H162" s="191">
        <f t="shared" si="51"/>
        <v>0</v>
      </c>
      <c r="I162" s="191">
        <f t="shared" si="51"/>
        <v>0</v>
      </c>
      <c r="J162" s="191">
        <f t="shared" si="51"/>
        <v>0</v>
      </c>
      <c r="K162" s="191">
        <f t="shared" si="51"/>
        <v>0</v>
      </c>
      <c r="L162" s="191">
        <f t="shared" si="51"/>
        <v>0</v>
      </c>
      <c r="M162" s="191">
        <f t="shared" si="51"/>
        <v>0</v>
      </c>
      <c r="N162" s="191">
        <f t="shared" si="49"/>
        <v>0</v>
      </c>
      <c r="O162" s="191"/>
      <c r="P162" s="192" t="s">
        <v>508</v>
      </c>
      <c r="Q162" s="4"/>
      <c r="R162" s="4"/>
      <c r="S162" s="4"/>
      <c r="T162" s="4"/>
      <c r="U162" s="4"/>
      <c r="V162" s="4"/>
      <c r="W162" s="4"/>
      <c r="X162" s="4"/>
      <c r="Y162" s="4"/>
      <c r="Z162" s="4"/>
    </row>
    <row r="163" ht="15.75" customHeight="1">
      <c r="A163" s="11" t="s">
        <v>509</v>
      </c>
      <c r="B163" s="191">
        <f t="shared" ref="B163:M163" si="52">B119+B151+B158+B162</f>
        <v>-28942.46</v>
      </c>
      <c r="C163" s="191">
        <f t="shared" si="52"/>
        <v>2252.29</v>
      </c>
      <c r="D163" s="191">
        <f t="shared" si="52"/>
        <v>422844.71</v>
      </c>
      <c r="E163" s="191">
        <f t="shared" si="52"/>
        <v>-17264.38</v>
      </c>
      <c r="F163" s="191">
        <f t="shared" si="52"/>
        <v>-14014.38</v>
      </c>
      <c r="G163" s="191">
        <f t="shared" si="52"/>
        <v>-13714.38</v>
      </c>
      <c r="H163" s="191">
        <f t="shared" si="52"/>
        <v>-17214.38</v>
      </c>
      <c r="I163" s="191">
        <f t="shared" si="52"/>
        <v>-14419.38</v>
      </c>
      <c r="J163" s="191">
        <f t="shared" si="52"/>
        <v>-13714.38</v>
      </c>
      <c r="K163" s="191">
        <f t="shared" si="52"/>
        <v>-60214.38</v>
      </c>
      <c r="L163" s="191">
        <f t="shared" si="52"/>
        <v>-30014.38</v>
      </c>
      <c r="M163" s="191">
        <f t="shared" si="52"/>
        <v>-8017.76</v>
      </c>
      <c r="N163" s="191">
        <f t="shared" si="49"/>
        <v>207566.74</v>
      </c>
      <c r="O163" s="191">
        <f>N163/12</f>
        <v>17297.22833</v>
      </c>
      <c r="P163" s="192" t="s">
        <v>510</v>
      </c>
      <c r="Q163" s="4"/>
      <c r="R163" s="4"/>
      <c r="S163" s="4"/>
      <c r="T163" s="4"/>
      <c r="U163" s="4"/>
      <c r="V163" s="4"/>
      <c r="W163" s="4"/>
      <c r="X163" s="4"/>
      <c r="Y163" s="4"/>
      <c r="Z163" s="4"/>
    </row>
    <row r="164" ht="15.75" customHeight="1">
      <c r="A164" s="11" t="s">
        <v>511</v>
      </c>
      <c r="B164" s="191">
        <f t="shared" ref="B164:M164" si="53">B14+B163</f>
        <v>20211.04</v>
      </c>
      <c r="C164" s="191">
        <f t="shared" si="53"/>
        <v>26689.59</v>
      </c>
      <c r="D164" s="191">
        <f t="shared" si="53"/>
        <v>459183.71</v>
      </c>
      <c r="E164" s="191">
        <f t="shared" si="53"/>
        <v>441919.33</v>
      </c>
      <c r="F164" s="191">
        <f t="shared" si="53"/>
        <v>427904.95</v>
      </c>
      <c r="G164" s="191">
        <f t="shared" si="53"/>
        <v>414190.57</v>
      </c>
      <c r="H164" s="191">
        <f t="shared" si="53"/>
        <v>396976.19</v>
      </c>
      <c r="I164" s="191">
        <f t="shared" si="53"/>
        <v>382556.81</v>
      </c>
      <c r="J164" s="191">
        <f t="shared" si="53"/>
        <v>368842.43</v>
      </c>
      <c r="K164" s="191">
        <f t="shared" si="53"/>
        <v>308628.05</v>
      </c>
      <c r="L164" s="191">
        <f t="shared" si="53"/>
        <v>278613.67</v>
      </c>
      <c r="M164" s="191">
        <f t="shared" si="53"/>
        <v>270595.91</v>
      </c>
      <c r="N164" s="191">
        <f>M164</f>
        <v>270595.91</v>
      </c>
      <c r="O164" s="11"/>
      <c r="P164" s="192" t="s">
        <v>512</v>
      </c>
      <c r="Q164" s="4"/>
      <c r="R164" s="4"/>
      <c r="S164" s="4"/>
      <c r="T164" s="4"/>
      <c r="U164" s="4"/>
      <c r="V164" s="4"/>
      <c r="W164" s="4"/>
      <c r="X164" s="4"/>
      <c r="Y164" s="4"/>
      <c r="Z164" s="4"/>
    </row>
    <row r="165" ht="15.75" customHeight="1">
      <c r="A165" s="196"/>
      <c r="B165" s="197"/>
      <c r="C165" s="197"/>
      <c r="D165" s="197"/>
      <c r="E165" s="197"/>
      <c r="F165" s="197"/>
      <c r="G165" s="197"/>
      <c r="H165" s="197"/>
      <c r="I165" s="197"/>
      <c r="J165" s="197"/>
      <c r="K165" s="197"/>
      <c r="L165" s="197"/>
      <c r="M165" s="197"/>
      <c r="N165" s="198"/>
      <c r="O165" s="197"/>
      <c r="P165" s="199"/>
      <c r="Q165" s="160"/>
      <c r="R165" s="160"/>
      <c r="S165" s="160"/>
      <c r="T165" s="160"/>
      <c r="U165" s="160"/>
      <c r="V165" s="160"/>
      <c r="W165" s="160"/>
      <c r="X165" s="160"/>
      <c r="Y165" s="160"/>
      <c r="Z165" s="160"/>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15.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15.7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15.7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ht="15.7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ht="15.7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ht="15.7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ht="15.75" customHeight="1">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ht="15.75" customHeight="1">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ht="15.75" customHeight="1">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ht="15.75" customHeight="1">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ht="15.75" customHeight="1">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sheetData>
  <mergeCells count="3">
    <mergeCell ref="A1:P1"/>
    <mergeCell ref="R1:S1"/>
    <mergeCell ref="A2:P2"/>
  </mergeCells>
  <conditionalFormatting sqref="B158:M158">
    <cfRule type="cellIs" dxfId="2" priority="1" operator="lessThan">
      <formula>10000</formula>
    </cfRule>
  </conditionalFormatting>
  <conditionalFormatting sqref="B158:M158">
    <cfRule type="cellIs" dxfId="1" priority="2" operator="between">
      <formula>10000</formula>
      <formula>50000</formula>
    </cfRule>
  </conditionalFormatting>
  <conditionalFormatting sqref="B158:M158">
    <cfRule type="cellIs" dxfId="0" priority="3" operator="greaterThanOrEqual">
      <formula>50000</formula>
    </cfRule>
  </conditionalFormatting>
  <conditionalFormatting sqref="B157:M157">
    <cfRule type="cellIs" dxfId="2" priority="4" operator="lessThan">
      <formula>0</formula>
    </cfRule>
  </conditionalFormatting>
  <printOptions/>
  <pageMargins bottom="1.0" footer="0.0" header="0.0" left="0.17142857142857143" right="0.0" top="1.0"/>
  <pageSetup paperSize="5"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4.43" defaultRowHeight="15.0" outlineLevelRow="1"/>
  <cols>
    <col customWidth="1" min="1" max="1" width="11.0"/>
    <col customWidth="1" min="2" max="2" width="7.0"/>
    <col customWidth="1" min="3" max="4" width="9.0"/>
    <col customWidth="1" min="5" max="5" width="14.0"/>
    <col customWidth="1" min="6" max="6" width="9.29"/>
    <col customWidth="1" min="7" max="7" width="40.0"/>
    <col customWidth="1" min="8" max="8" width="12.0"/>
    <col customWidth="1" min="9" max="9" width="10.0"/>
    <col customWidth="1" min="10" max="11" width="11.0"/>
    <col customWidth="1" min="12" max="12" width="12.0"/>
    <col customWidth="1" min="13" max="13" width="22.0"/>
    <col customWidth="1" min="14" max="14" width="11.0"/>
    <col customWidth="1" min="15" max="15" width="17.0"/>
    <col customWidth="1" min="16" max="16" width="15.0"/>
    <col customWidth="1" min="17" max="19" width="9.57"/>
    <col customWidth="1" min="20" max="20" width="44.0"/>
    <col customWidth="1" hidden="1" min="21" max="21" width="11.0"/>
    <col customWidth="1" min="22" max="22" width="8.71"/>
    <col customWidth="1" min="23" max="23" width="11.0"/>
    <col customWidth="1" min="24" max="26" width="12.0"/>
    <col customWidth="1" min="27" max="27" width="12.86"/>
    <col customWidth="1" min="28" max="34" width="12.0"/>
  </cols>
  <sheetData>
    <row r="1" ht="21.75" customHeight="1">
      <c r="A1" s="1" t="s">
        <v>0</v>
      </c>
      <c r="B1" s="2"/>
      <c r="C1" s="2"/>
      <c r="D1" s="2"/>
      <c r="E1" s="2"/>
      <c r="F1" s="2"/>
      <c r="G1" s="2"/>
      <c r="H1" s="2"/>
      <c r="I1" s="2"/>
      <c r="J1" s="2"/>
      <c r="K1" s="2"/>
      <c r="L1" s="2"/>
      <c r="M1" s="2"/>
      <c r="N1" s="2"/>
      <c r="O1" s="2"/>
      <c r="P1" s="2"/>
      <c r="Q1" s="2"/>
      <c r="R1" s="2"/>
      <c r="S1" s="2"/>
      <c r="T1" s="3"/>
      <c r="U1" s="4"/>
      <c r="V1" s="4"/>
      <c r="W1" s="4"/>
      <c r="X1" s="4"/>
      <c r="Y1" s="4"/>
      <c r="Z1" s="4"/>
      <c r="AA1" s="4"/>
      <c r="AB1" s="4"/>
      <c r="AC1" s="4"/>
      <c r="AD1" s="4"/>
      <c r="AE1" s="4"/>
      <c r="AF1" s="4"/>
      <c r="AG1" s="4"/>
      <c r="AH1" s="4"/>
    </row>
    <row r="2">
      <c r="A2" s="6" t="s">
        <v>6</v>
      </c>
      <c r="U2" s="4"/>
      <c r="V2" s="4"/>
      <c r="W2" s="4"/>
      <c r="X2" s="4"/>
      <c r="Y2" s="4"/>
      <c r="Z2" s="4"/>
      <c r="AA2" s="4"/>
      <c r="AB2" s="4"/>
      <c r="AC2" s="4"/>
      <c r="AD2" s="4"/>
      <c r="AE2" s="4"/>
      <c r="AF2" s="4"/>
      <c r="AG2" s="4"/>
      <c r="AH2" s="4"/>
    </row>
    <row r="3">
      <c r="A3" s="9" t="s">
        <v>10</v>
      </c>
      <c r="F3" s="12">
        <f>SUMIFS(K11:K1000,L11:L1000,"Matina")-SUMIFS(N11:N1000,L11:L1000,"Matina")</f>
        <v>398.455</v>
      </c>
      <c r="G3" s="4"/>
      <c r="H3" s="4"/>
      <c r="I3" s="4"/>
      <c r="J3" s="4"/>
      <c r="K3" s="4"/>
      <c r="L3" s="4"/>
      <c r="M3" s="4"/>
      <c r="N3" s="4"/>
      <c r="O3" s="4"/>
      <c r="P3" s="4"/>
      <c r="Q3" s="4"/>
      <c r="R3" s="4"/>
      <c r="S3" s="4"/>
      <c r="T3" s="4"/>
      <c r="U3" s="4"/>
      <c r="V3" s="4"/>
      <c r="W3" s="4"/>
      <c r="X3" s="4"/>
      <c r="Y3" s="4"/>
      <c r="Z3" s="4"/>
      <c r="AA3" s="4"/>
      <c r="AB3" s="4"/>
      <c r="AC3" s="4"/>
      <c r="AD3" s="4"/>
      <c r="AE3" s="4"/>
      <c r="AF3" s="4"/>
      <c r="AG3" s="4"/>
      <c r="AH3" s="4"/>
    </row>
    <row r="4">
      <c r="A4" s="9" t="s">
        <v>18</v>
      </c>
      <c r="F4" s="17">
        <f>SUMIFS(K11:K1000,B11:B1000,2027)</f>
        <v>3325.38</v>
      </c>
      <c r="G4" s="4"/>
      <c r="H4" s="4"/>
      <c r="I4" s="4"/>
      <c r="J4" s="4"/>
      <c r="K4" s="4"/>
      <c r="L4" s="4"/>
      <c r="M4" s="4"/>
      <c r="N4" s="4"/>
      <c r="O4" s="4"/>
      <c r="P4" s="4"/>
      <c r="Q4" s="4"/>
      <c r="R4" s="4"/>
      <c r="S4" s="4"/>
      <c r="T4" s="4"/>
      <c r="U4" s="4"/>
      <c r="V4" s="4"/>
      <c r="W4" s="4"/>
      <c r="X4" s="4"/>
      <c r="Y4" s="4"/>
      <c r="Z4" s="4"/>
      <c r="AA4" s="4"/>
      <c r="AB4" s="4"/>
      <c r="AC4" s="4"/>
      <c r="AD4" s="4"/>
      <c r="AE4" s="4"/>
      <c r="AF4" s="4"/>
      <c r="AG4" s="4"/>
      <c r="AH4" s="4"/>
    </row>
    <row r="5" ht="25.5" customHeight="1">
      <c r="A5" s="21" t="s">
        <v>26</v>
      </c>
      <c r="U5" s="4"/>
      <c r="V5" s="4"/>
      <c r="W5" s="4"/>
      <c r="X5" s="4"/>
      <c r="Y5" s="4"/>
      <c r="Z5" s="4"/>
      <c r="AA5" s="4"/>
      <c r="AB5" s="4"/>
      <c r="AC5" s="4"/>
      <c r="AD5" s="4"/>
      <c r="AE5" s="4"/>
      <c r="AF5" s="4"/>
      <c r="AG5" s="4"/>
      <c r="AH5" s="4"/>
    </row>
    <row r="6" ht="25.5" customHeight="1">
      <c r="A6" s="21" t="s">
        <v>29</v>
      </c>
      <c r="U6" s="4"/>
      <c r="V6" s="4"/>
      <c r="W6" s="4"/>
      <c r="X6" s="4"/>
      <c r="Y6" s="4"/>
      <c r="Z6" s="4"/>
      <c r="AA6" s="4"/>
      <c r="AB6" s="4"/>
      <c r="AC6" s="4"/>
      <c r="AD6" s="4"/>
      <c r="AE6" s="4"/>
      <c r="AF6" s="4"/>
      <c r="AG6" s="4"/>
      <c r="AH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c r="A9" s="4"/>
      <c r="B9" s="4"/>
      <c r="C9" s="4"/>
      <c r="D9" s="4"/>
      <c r="E9" s="4"/>
      <c r="F9" s="4"/>
      <c r="G9" s="4"/>
      <c r="H9" s="4"/>
      <c r="I9" s="4"/>
      <c r="J9" s="4"/>
      <c r="K9" s="4"/>
      <c r="L9" s="4"/>
      <c r="M9" s="4"/>
      <c r="N9" s="4"/>
      <c r="O9" s="4"/>
      <c r="P9" s="4"/>
      <c r="Q9" s="37" t="s">
        <v>42</v>
      </c>
      <c r="R9" s="4"/>
      <c r="S9" s="4"/>
      <c r="T9" s="4"/>
      <c r="U9" s="4"/>
      <c r="V9" s="4"/>
      <c r="W9" s="4"/>
      <c r="X9" s="4"/>
      <c r="Y9" s="4"/>
      <c r="Z9" s="4"/>
      <c r="AA9" s="4"/>
      <c r="AB9" s="4"/>
      <c r="AC9" s="4"/>
      <c r="AD9" s="4"/>
      <c r="AE9" s="4"/>
      <c r="AF9" s="4"/>
      <c r="AG9" s="4"/>
      <c r="AH9" s="4"/>
    </row>
    <row r="10" ht="25.5" customHeight="1">
      <c r="A10" s="38" t="s">
        <v>44</v>
      </c>
      <c r="B10" s="39" t="s">
        <v>46</v>
      </c>
      <c r="C10" s="39" t="s">
        <v>48</v>
      </c>
      <c r="D10" s="39" t="s">
        <v>49</v>
      </c>
      <c r="E10" s="39" t="s">
        <v>50</v>
      </c>
      <c r="F10" s="39" t="s">
        <v>52</v>
      </c>
      <c r="G10" s="39" t="s">
        <v>53</v>
      </c>
      <c r="H10" s="39" t="s">
        <v>54</v>
      </c>
      <c r="I10" s="39" t="s">
        <v>55</v>
      </c>
      <c r="J10" s="39" t="s">
        <v>56</v>
      </c>
      <c r="K10" s="39" t="s">
        <v>57</v>
      </c>
      <c r="L10" s="39" t="s">
        <v>58</v>
      </c>
      <c r="M10" s="39" t="s">
        <v>59</v>
      </c>
      <c r="N10" s="39" t="s">
        <v>60</v>
      </c>
      <c r="O10" s="39" t="s">
        <v>16</v>
      </c>
      <c r="P10" s="39" t="s">
        <v>61</v>
      </c>
      <c r="Q10" s="39" t="s">
        <v>62</v>
      </c>
      <c r="R10" s="39" t="s">
        <v>63</v>
      </c>
      <c r="S10" s="39" t="s">
        <v>64</v>
      </c>
      <c r="T10" s="39" t="s">
        <v>66</v>
      </c>
      <c r="U10" s="39" t="s">
        <v>67</v>
      </c>
      <c r="V10" s="4"/>
      <c r="W10" s="41" t="s">
        <v>68</v>
      </c>
      <c r="X10" s="2"/>
      <c r="Y10" s="2"/>
      <c r="Z10" s="2"/>
      <c r="AA10" s="2"/>
      <c r="AB10" s="2"/>
      <c r="AC10" s="2"/>
      <c r="AD10" s="2"/>
      <c r="AE10" s="2"/>
      <c r="AF10" s="2"/>
      <c r="AG10" s="2"/>
      <c r="AH10" s="3"/>
    </row>
    <row r="11" ht="25.5" customHeight="1">
      <c r="A11" s="42">
        <v>46189.0</v>
      </c>
      <c r="B11" s="43"/>
      <c r="C11" s="43"/>
      <c r="D11" s="43"/>
      <c r="E11" s="43"/>
      <c r="F11" s="43"/>
      <c r="G11" s="43" t="s">
        <v>70</v>
      </c>
      <c r="H11" s="43"/>
      <c r="I11" s="43"/>
      <c r="J11" s="43"/>
      <c r="K11" s="47"/>
      <c r="L11" s="43"/>
      <c r="M11" s="43"/>
      <c r="N11" s="43"/>
      <c r="O11" s="43"/>
      <c r="P11" s="52">
        <v>0.0</v>
      </c>
      <c r="Q11" s="43"/>
      <c r="R11" s="43"/>
      <c r="S11" s="43"/>
      <c r="T11" s="43"/>
      <c r="U11" s="4"/>
      <c r="V11" s="4"/>
      <c r="W11" s="39" t="s">
        <v>72</v>
      </c>
      <c r="X11" s="39" t="s">
        <v>73</v>
      </c>
      <c r="Y11" s="39" t="s">
        <v>74</v>
      </c>
      <c r="Z11" s="39" t="s">
        <v>75</v>
      </c>
      <c r="AA11" s="39" t="s">
        <v>76</v>
      </c>
      <c r="AB11" s="39" t="s">
        <v>77</v>
      </c>
      <c r="AC11" s="39" t="s">
        <v>78</v>
      </c>
      <c r="AD11" s="39" t="s">
        <v>79</v>
      </c>
      <c r="AE11" s="39" t="s">
        <v>80</v>
      </c>
      <c r="AF11" s="39" t="s">
        <v>81</v>
      </c>
      <c r="AG11" s="39" t="s">
        <v>82</v>
      </c>
      <c r="AH11" s="39" t="s">
        <v>84</v>
      </c>
    </row>
    <row r="12">
      <c r="A12" s="42">
        <v>46186.0</v>
      </c>
      <c r="B12" s="43">
        <f t="shared" ref="B12:B17" si="2">IF(A12="","",IF(MONTH(A12)&gt;=7,YEAR(A12)+1,YEAR(A12)))</f>
        <v>2026</v>
      </c>
      <c r="C12" s="43" t="s">
        <v>86</v>
      </c>
      <c r="D12" s="43" t="s">
        <v>88</v>
      </c>
      <c r="E12" s="43" t="s">
        <v>78</v>
      </c>
      <c r="F12" s="43" t="s">
        <v>89</v>
      </c>
      <c r="G12" s="43" t="s">
        <v>90</v>
      </c>
      <c r="H12" s="52">
        <v>75.95</v>
      </c>
      <c r="I12" s="52">
        <v>0.0</v>
      </c>
      <c r="J12" s="52">
        <f t="shared" ref="J12:J14" si="3">H12-I12</f>
        <v>75.95</v>
      </c>
      <c r="K12" s="57">
        <f t="shared" ref="K12:K14" si="4">J12/2</f>
        <v>37.975</v>
      </c>
      <c r="L12" s="43" t="s">
        <v>92</v>
      </c>
      <c r="M12" s="43" t="str">
        <f t="shared" ref="M12:M18" si="5">IF(L12="Matina","Clent owes Matina","Matina owes Clent")</f>
        <v>Clent owes Matina</v>
      </c>
      <c r="N12" s="52">
        <v>0.0</v>
      </c>
      <c r="O12" s="43" t="s">
        <v>95</v>
      </c>
      <c r="P12" s="52">
        <f t="shared" ref="P12:P18" si="6">P11+IF(L12="Matina",K12,0)-N12</f>
        <v>37.975</v>
      </c>
      <c r="Q12" s="63" t="s">
        <v>96</v>
      </c>
      <c r="R12" s="63" t="s">
        <v>96</v>
      </c>
      <c r="S12" s="63" t="s">
        <v>96</v>
      </c>
      <c r="T12" s="65" t="s">
        <v>105</v>
      </c>
      <c r="U12" s="66">
        <f t="shared" ref="U12:U17" si="7">IF(A12="","",DATE(YEAR(A12),MONTH(A12),1))</f>
        <v>46174</v>
      </c>
      <c r="V12" s="4"/>
      <c r="W12" s="67">
        <v>46174.0</v>
      </c>
      <c r="X12" s="52">
        <f t="shared" ref="X12:AE12" si="1">SUMIFS($K$11:$K$1000,$U$11:$U$1000,$W12,$E$11:$E$1000,X$11)</f>
        <v>0</v>
      </c>
      <c r="Y12" s="52">
        <f t="shared" si="1"/>
        <v>87</v>
      </c>
      <c r="Z12" s="52">
        <f t="shared" si="1"/>
        <v>0</v>
      </c>
      <c r="AA12" s="52">
        <f t="shared" si="1"/>
        <v>0</v>
      </c>
      <c r="AB12" s="52">
        <f t="shared" si="1"/>
        <v>0</v>
      </c>
      <c r="AC12" s="52">
        <f t="shared" si="1"/>
        <v>37.975</v>
      </c>
      <c r="AD12" s="52">
        <f t="shared" si="1"/>
        <v>0</v>
      </c>
      <c r="AE12" s="52">
        <f t="shared" si="1"/>
        <v>220.48</v>
      </c>
      <c r="AF12" s="71">
        <f t="shared" ref="AF12:AF24" si="9">SUMIFS($K$11:$K$1000,$U$11:$U$1000,$W12)</f>
        <v>345.455</v>
      </c>
      <c r="AG12" s="52">
        <f t="shared" ref="AG12:AG24" si="10">SUMIFS($N$11:$N$1000,$U$11:$U$1000,$W12)</f>
        <v>87</v>
      </c>
      <c r="AH12" s="52">
        <f t="shared" ref="AH12:AH24" si="11">SUMIFS($K$11:$K$1000,$U$11:$U$1000,$W12,$L$11:$L$1000,"Matina")-SUMIFS($N$11:$N$1000,$U$11:$U$1000,$W12,$L$11:$L$1000,"Matina")</f>
        <v>258.455</v>
      </c>
    </row>
    <row r="13">
      <c r="A13" s="72">
        <v>46195.0</v>
      </c>
      <c r="B13" s="74">
        <f t="shared" si="2"/>
        <v>2026</v>
      </c>
      <c r="C13" s="74" t="s">
        <v>86</v>
      </c>
      <c r="D13" s="74" t="s">
        <v>118</v>
      </c>
      <c r="E13" s="74" t="s">
        <v>80</v>
      </c>
      <c r="F13" s="74" t="s">
        <v>119</v>
      </c>
      <c r="G13" s="74" t="s">
        <v>120</v>
      </c>
      <c r="H13" s="77">
        <v>440.96</v>
      </c>
      <c r="I13" s="77">
        <v>0.0</v>
      </c>
      <c r="J13" s="77">
        <f t="shared" si="3"/>
        <v>440.96</v>
      </c>
      <c r="K13" s="57">
        <f t="shared" si="4"/>
        <v>220.48</v>
      </c>
      <c r="L13" s="74" t="s">
        <v>92</v>
      </c>
      <c r="M13" s="74" t="str">
        <f t="shared" si="5"/>
        <v>Clent owes Matina</v>
      </c>
      <c r="N13" s="77">
        <v>0.0</v>
      </c>
      <c r="O13" s="74" t="s">
        <v>95</v>
      </c>
      <c r="P13" s="77">
        <f t="shared" si="6"/>
        <v>258.455</v>
      </c>
      <c r="Q13" s="78"/>
      <c r="R13" s="79" t="s">
        <v>96</v>
      </c>
      <c r="S13" s="79" t="s">
        <v>96</v>
      </c>
      <c r="T13" s="80" t="s">
        <v>125</v>
      </c>
      <c r="U13" s="66">
        <f t="shared" si="7"/>
        <v>46174</v>
      </c>
      <c r="V13" s="4"/>
      <c r="W13" s="67">
        <v>46204.0</v>
      </c>
      <c r="X13" s="52">
        <f t="shared" ref="X13:AE13" si="8">SUMIFS($K$11:$K$1000,$U$11:$U$1000,$W13,$E$11:$E$1000,X$11)</f>
        <v>3325.38</v>
      </c>
      <c r="Y13" s="52">
        <f t="shared" si="8"/>
        <v>0</v>
      </c>
      <c r="Z13" s="52">
        <f t="shared" si="8"/>
        <v>0</v>
      </c>
      <c r="AA13" s="52">
        <f t="shared" si="8"/>
        <v>0</v>
      </c>
      <c r="AB13" s="52">
        <f t="shared" si="8"/>
        <v>0</v>
      </c>
      <c r="AC13" s="52">
        <f t="shared" si="8"/>
        <v>0</v>
      </c>
      <c r="AD13" s="52">
        <f t="shared" si="8"/>
        <v>0</v>
      </c>
      <c r="AE13" s="52">
        <f t="shared" si="8"/>
        <v>0</v>
      </c>
      <c r="AF13" s="71">
        <f t="shared" si="9"/>
        <v>3325.38</v>
      </c>
      <c r="AG13" s="52">
        <f t="shared" si="10"/>
        <v>0</v>
      </c>
      <c r="AH13" s="52">
        <f t="shared" si="11"/>
        <v>0</v>
      </c>
    </row>
    <row r="14">
      <c r="A14" s="42">
        <v>46199.0</v>
      </c>
      <c r="B14" s="43">
        <f t="shared" si="2"/>
        <v>2026</v>
      </c>
      <c r="C14" s="43" t="s">
        <v>86</v>
      </c>
      <c r="D14" s="43" t="s">
        <v>136</v>
      </c>
      <c r="E14" s="43" t="s">
        <v>74</v>
      </c>
      <c r="F14" s="43" t="s">
        <v>89</v>
      </c>
      <c r="G14" s="43" t="s">
        <v>139</v>
      </c>
      <c r="H14" s="52">
        <v>174.0</v>
      </c>
      <c r="I14" s="52">
        <v>0.0</v>
      </c>
      <c r="J14" s="52">
        <f t="shared" si="3"/>
        <v>174</v>
      </c>
      <c r="K14" s="57">
        <f t="shared" si="4"/>
        <v>87</v>
      </c>
      <c r="L14" s="43" t="s">
        <v>92</v>
      </c>
      <c r="M14" s="43" t="str">
        <f t="shared" si="5"/>
        <v>Clent owes Matina</v>
      </c>
      <c r="N14" s="52">
        <v>87.0</v>
      </c>
      <c r="O14" s="43" t="s">
        <v>95</v>
      </c>
      <c r="P14" s="52">
        <f t="shared" si="6"/>
        <v>258.455</v>
      </c>
      <c r="Q14" s="63" t="s">
        <v>96</v>
      </c>
      <c r="R14" s="63" t="s">
        <v>96</v>
      </c>
      <c r="S14" s="63" t="s">
        <v>96</v>
      </c>
      <c r="T14" s="65" t="s">
        <v>144</v>
      </c>
      <c r="U14" s="66">
        <f t="shared" si="7"/>
        <v>46174</v>
      </c>
      <c r="V14" s="4"/>
      <c r="W14" s="67">
        <v>46235.0</v>
      </c>
      <c r="X14" s="52">
        <f t="shared" ref="X14:AE14" si="12">SUMIFS($K$11:$K$1000,$U$11:$U$1000,$W14,$E$11:$E$1000,X$11)</f>
        <v>0</v>
      </c>
      <c r="Y14" s="52">
        <f t="shared" si="12"/>
        <v>0</v>
      </c>
      <c r="Z14" s="52">
        <f t="shared" si="12"/>
        <v>0</v>
      </c>
      <c r="AA14" s="52">
        <f t="shared" si="12"/>
        <v>0</v>
      </c>
      <c r="AB14" s="52">
        <f t="shared" si="12"/>
        <v>0</v>
      </c>
      <c r="AC14" s="52">
        <f t="shared" si="12"/>
        <v>0</v>
      </c>
      <c r="AD14" s="52">
        <f t="shared" si="12"/>
        <v>0</v>
      </c>
      <c r="AE14" s="52">
        <f t="shared" si="12"/>
        <v>0</v>
      </c>
      <c r="AF14" s="71">
        <f t="shared" si="9"/>
        <v>0</v>
      </c>
      <c r="AG14" s="52">
        <f t="shared" si="10"/>
        <v>0</v>
      </c>
      <c r="AH14" s="52">
        <f t="shared" si="11"/>
        <v>0</v>
      </c>
    </row>
    <row r="15">
      <c r="A15" s="42">
        <v>46203.0</v>
      </c>
      <c r="B15" s="43">
        <f t="shared" si="2"/>
        <v>2026</v>
      </c>
      <c r="C15" s="43" t="s">
        <v>86</v>
      </c>
      <c r="D15" s="43" t="s">
        <v>136</v>
      </c>
      <c r="E15" s="43" t="s">
        <v>77</v>
      </c>
      <c r="F15" s="43" t="s">
        <v>119</v>
      </c>
      <c r="G15" s="43" t="s">
        <v>149</v>
      </c>
      <c r="H15" s="43"/>
      <c r="I15" s="43"/>
      <c r="J15" s="43"/>
      <c r="K15" s="47"/>
      <c r="L15" s="43" t="s">
        <v>151</v>
      </c>
      <c r="M15" s="43" t="str">
        <f t="shared" si="5"/>
        <v>Matina owes Clent</v>
      </c>
      <c r="N15" s="52">
        <v>0.0</v>
      </c>
      <c r="O15" s="43" t="s">
        <v>95</v>
      </c>
      <c r="P15" s="52">
        <f t="shared" si="6"/>
        <v>258.455</v>
      </c>
      <c r="Q15" s="89"/>
      <c r="R15" s="89"/>
      <c r="S15" s="89"/>
      <c r="T15" s="65" t="s">
        <v>154</v>
      </c>
      <c r="U15" s="66">
        <f t="shared" si="7"/>
        <v>46174</v>
      </c>
      <c r="V15" s="4"/>
      <c r="W15" s="67">
        <v>46266.0</v>
      </c>
      <c r="X15" s="52">
        <f t="shared" ref="X15:AE15" si="13">SUMIFS($K$11:$K$1000,$U$11:$U$1000,$W15,$E$11:$E$1000,X$11)</f>
        <v>0</v>
      </c>
      <c r="Y15" s="52">
        <f t="shared" si="13"/>
        <v>0</v>
      </c>
      <c r="Z15" s="52">
        <f t="shared" si="13"/>
        <v>0</v>
      </c>
      <c r="AA15" s="52">
        <f t="shared" si="13"/>
        <v>0</v>
      </c>
      <c r="AB15" s="52">
        <f t="shared" si="13"/>
        <v>0</v>
      </c>
      <c r="AC15" s="52">
        <f t="shared" si="13"/>
        <v>0</v>
      </c>
      <c r="AD15" s="52">
        <f t="shared" si="13"/>
        <v>0</v>
      </c>
      <c r="AE15" s="52">
        <f t="shared" si="13"/>
        <v>0</v>
      </c>
      <c r="AF15" s="71">
        <f t="shared" si="9"/>
        <v>0</v>
      </c>
      <c r="AG15" s="52">
        <f t="shared" si="10"/>
        <v>0</v>
      </c>
      <c r="AH15" s="52">
        <f t="shared" si="11"/>
        <v>0</v>
      </c>
    </row>
    <row r="16">
      <c r="A16" s="42">
        <v>46205.0</v>
      </c>
      <c r="B16" s="43">
        <f t="shared" si="2"/>
        <v>2027</v>
      </c>
      <c r="C16" s="43" t="s">
        <v>157</v>
      </c>
      <c r="D16" s="43" t="s">
        <v>118</v>
      </c>
      <c r="E16" s="43" t="s">
        <v>73</v>
      </c>
      <c r="F16" s="43" t="s">
        <v>119</v>
      </c>
      <c r="G16" s="43" t="s">
        <v>160</v>
      </c>
      <c r="H16" s="52">
        <v>6650.76</v>
      </c>
      <c r="I16" s="52">
        <v>0.0</v>
      </c>
      <c r="J16" s="52">
        <f t="shared" ref="J16:J18" si="15">H16-I16</f>
        <v>6650.76</v>
      </c>
      <c r="K16" s="57">
        <f t="shared" ref="K16:K18" si="16">J16/2</f>
        <v>3325.38</v>
      </c>
      <c r="L16" s="43" t="s">
        <v>151</v>
      </c>
      <c r="M16" s="43" t="str">
        <f t="shared" si="5"/>
        <v>Matina owes Clent</v>
      </c>
      <c r="N16" s="52">
        <v>0.0</v>
      </c>
      <c r="O16" s="43" t="s">
        <v>95</v>
      </c>
      <c r="P16" s="52">
        <f t="shared" si="6"/>
        <v>258.455</v>
      </c>
      <c r="Q16" s="63" t="s">
        <v>96</v>
      </c>
      <c r="R16" s="63" t="s">
        <v>96</v>
      </c>
      <c r="S16" s="63" t="s">
        <v>96</v>
      </c>
      <c r="T16" s="65" t="s">
        <v>167</v>
      </c>
      <c r="U16" s="66">
        <f t="shared" si="7"/>
        <v>46204</v>
      </c>
      <c r="V16" s="4"/>
      <c r="W16" s="67">
        <v>46296.0</v>
      </c>
      <c r="X16" s="52">
        <f t="shared" ref="X16:AE16" si="14">SUMIFS($K$11:$K$1000,$U$11:$U$1000,$W16,$E$11:$E$1000,X$11)</f>
        <v>0</v>
      </c>
      <c r="Y16" s="52">
        <f t="shared" si="14"/>
        <v>0</v>
      </c>
      <c r="Z16" s="52">
        <f t="shared" si="14"/>
        <v>0</v>
      </c>
      <c r="AA16" s="52">
        <f t="shared" si="14"/>
        <v>0</v>
      </c>
      <c r="AB16" s="52">
        <f t="shared" si="14"/>
        <v>0</v>
      </c>
      <c r="AC16" s="52">
        <f t="shared" si="14"/>
        <v>0</v>
      </c>
      <c r="AD16" s="52">
        <f t="shared" si="14"/>
        <v>0</v>
      </c>
      <c r="AE16" s="52">
        <f t="shared" si="14"/>
        <v>0</v>
      </c>
      <c r="AF16" s="71">
        <f t="shared" si="9"/>
        <v>0</v>
      </c>
      <c r="AG16" s="52">
        <f t="shared" si="10"/>
        <v>0</v>
      </c>
      <c r="AH16" s="52">
        <f t="shared" si="11"/>
        <v>0</v>
      </c>
    </row>
    <row r="17">
      <c r="A17" s="42">
        <v>46112.0</v>
      </c>
      <c r="B17" s="43">
        <f t="shared" si="2"/>
        <v>2026</v>
      </c>
      <c r="C17" s="43" t="s">
        <v>172</v>
      </c>
      <c r="D17" s="43" t="s">
        <v>136</v>
      </c>
      <c r="E17" s="43" t="s">
        <v>77</v>
      </c>
      <c r="F17" s="43" t="s">
        <v>119</v>
      </c>
      <c r="G17" s="43" t="s">
        <v>173</v>
      </c>
      <c r="H17" s="52">
        <v>673.0</v>
      </c>
      <c r="I17" s="52">
        <v>0.0</v>
      </c>
      <c r="J17" s="52">
        <f t="shared" si="15"/>
        <v>673</v>
      </c>
      <c r="K17" s="57">
        <f t="shared" si="16"/>
        <v>336.5</v>
      </c>
      <c r="L17" s="43" t="s">
        <v>92</v>
      </c>
      <c r="M17" s="43" t="str">
        <f t="shared" si="5"/>
        <v>Clent owes Matina</v>
      </c>
      <c r="N17" s="52">
        <v>336.5</v>
      </c>
      <c r="O17" s="43" t="s">
        <v>95</v>
      </c>
      <c r="P17" s="52">
        <f t="shared" si="6"/>
        <v>258.455</v>
      </c>
      <c r="Q17" s="63" t="s">
        <v>96</v>
      </c>
      <c r="R17" s="63" t="s">
        <v>96</v>
      </c>
      <c r="S17" s="63" t="s">
        <v>96</v>
      </c>
      <c r="T17" s="65" t="s">
        <v>176</v>
      </c>
      <c r="U17" s="66">
        <f t="shared" si="7"/>
        <v>46082</v>
      </c>
      <c r="V17" s="4"/>
      <c r="W17" s="67">
        <v>46327.0</v>
      </c>
      <c r="X17" s="52">
        <f t="shared" ref="X17:AE17" si="17">SUMIFS($K$11:$K$1000,$U$11:$U$1000,$W17,$E$11:$E$1000,X$11)</f>
        <v>0</v>
      </c>
      <c r="Y17" s="52">
        <f t="shared" si="17"/>
        <v>0</v>
      </c>
      <c r="Z17" s="52">
        <f t="shared" si="17"/>
        <v>0</v>
      </c>
      <c r="AA17" s="52">
        <f t="shared" si="17"/>
        <v>0</v>
      </c>
      <c r="AB17" s="52">
        <f t="shared" si="17"/>
        <v>0</v>
      </c>
      <c r="AC17" s="52">
        <f t="shared" si="17"/>
        <v>0</v>
      </c>
      <c r="AD17" s="52">
        <f t="shared" si="17"/>
        <v>0</v>
      </c>
      <c r="AE17" s="52">
        <f t="shared" si="17"/>
        <v>0</v>
      </c>
      <c r="AF17" s="71">
        <f t="shared" si="9"/>
        <v>0</v>
      </c>
      <c r="AG17" s="52">
        <f t="shared" si="10"/>
        <v>0</v>
      </c>
      <c r="AH17" s="52">
        <f t="shared" si="11"/>
        <v>0</v>
      </c>
    </row>
    <row r="18">
      <c r="A18" s="108">
        <v>46225.0</v>
      </c>
      <c r="B18" s="43">
        <v>2026.0</v>
      </c>
      <c r="C18" s="43" t="s">
        <v>157</v>
      </c>
      <c r="D18" s="43" t="s">
        <v>88</v>
      </c>
      <c r="E18" s="43" t="s">
        <v>78</v>
      </c>
      <c r="F18" s="43"/>
      <c r="G18" s="43" t="s">
        <v>181</v>
      </c>
      <c r="H18" s="52">
        <v>20.0</v>
      </c>
      <c r="I18" s="52">
        <v>0.0</v>
      </c>
      <c r="J18" s="52">
        <f t="shared" si="15"/>
        <v>20</v>
      </c>
      <c r="K18" s="57">
        <f t="shared" si="16"/>
        <v>10</v>
      </c>
      <c r="L18" s="43" t="s">
        <v>92</v>
      </c>
      <c r="M18" s="43" t="str">
        <f t="shared" si="5"/>
        <v>Clent owes Matina</v>
      </c>
      <c r="N18" s="52"/>
      <c r="O18" s="43" t="s">
        <v>95</v>
      </c>
      <c r="P18" s="52">
        <f t="shared" si="6"/>
        <v>268.455</v>
      </c>
      <c r="Q18" s="63" t="s">
        <v>96</v>
      </c>
      <c r="R18" s="63" t="s">
        <v>96</v>
      </c>
      <c r="S18" s="63" t="s">
        <v>96</v>
      </c>
      <c r="T18" s="118" t="s">
        <v>191</v>
      </c>
      <c r="U18" s="66"/>
      <c r="V18" s="4"/>
      <c r="W18" s="67">
        <v>46357.0</v>
      </c>
      <c r="X18" s="52">
        <f t="shared" ref="X18:AE18" si="18">SUMIFS($K$11:$K$1000,$U$11:$U$1000,$W18,$E$11:$E$1000,X$11)</f>
        <v>0</v>
      </c>
      <c r="Y18" s="52">
        <f t="shared" si="18"/>
        <v>0</v>
      </c>
      <c r="Z18" s="52">
        <f t="shared" si="18"/>
        <v>0</v>
      </c>
      <c r="AA18" s="52">
        <f t="shared" si="18"/>
        <v>0</v>
      </c>
      <c r="AB18" s="52">
        <f t="shared" si="18"/>
        <v>0</v>
      </c>
      <c r="AC18" s="52">
        <f t="shared" si="18"/>
        <v>0</v>
      </c>
      <c r="AD18" s="52">
        <f t="shared" si="18"/>
        <v>0</v>
      </c>
      <c r="AE18" s="52">
        <f t="shared" si="18"/>
        <v>0</v>
      </c>
      <c r="AF18" s="71">
        <f t="shared" si="9"/>
        <v>0</v>
      </c>
      <c r="AG18" s="52">
        <f t="shared" si="10"/>
        <v>0</v>
      </c>
      <c r="AH18" s="52">
        <f t="shared" si="11"/>
        <v>0</v>
      </c>
    </row>
    <row r="19">
      <c r="A19" s="121">
        <v>46213.0</v>
      </c>
      <c r="B19" s="52">
        <v>2026.0</v>
      </c>
      <c r="C19" s="52"/>
      <c r="D19" s="52" t="s">
        <v>88</v>
      </c>
      <c r="E19" s="52" t="s">
        <v>77</v>
      </c>
      <c r="F19" s="52"/>
      <c r="G19" s="52" t="s">
        <v>205</v>
      </c>
      <c r="H19" s="52">
        <v>260.0</v>
      </c>
      <c r="I19" s="52"/>
      <c r="J19" s="52">
        <v>260.0</v>
      </c>
      <c r="K19" s="52">
        <f>260*0.5</f>
        <v>130</v>
      </c>
      <c r="L19" s="52" t="s">
        <v>92</v>
      </c>
      <c r="M19" s="52" t="s">
        <v>208</v>
      </c>
      <c r="N19" s="52"/>
      <c r="O19" s="52" t="s">
        <v>210</v>
      </c>
      <c r="P19" s="52"/>
      <c r="Q19" s="52"/>
      <c r="R19" s="52"/>
      <c r="S19" s="126" t="s">
        <v>96</v>
      </c>
      <c r="T19" s="118" t="s">
        <v>214</v>
      </c>
      <c r="U19" s="4"/>
      <c r="V19" s="4"/>
      <c r="W19" s="67">
        <v>46388.0</v>
      </c>
      <c r="X19" s="52">
        <f t="shared" ref="X19:AE19" si="19">SUMIFS($K$11:$K$1000,$U$11:$U$1000,$W19,$E$11:$E$1000,X$11)</f>
        <v>0</v>
      </c>
      <c r="Y19" s="52">
        <f t="shared" si="19"/>
        <v>0</v>
      </c>
      <c r="Z19" s="52">
        <f t="shared" si="19"/>
        <v>0</v>
      </c>
      <c r="AA19" s="52">
        <f t="shared" si="19"/>
        <v>0</v>
      </c>
      <c r="AB19" s="52">
        <f t="shared" si="19"/>
        <v>0</v>
      </c>
      <c r="AC19" s="52">
        <f t="shared" si="19"/>
        <v>0</v>
      </c>
      <c r="AD19" s="52">
        <f t="shared" si="19"/>
        <v>0</v>
      </c>
      <c r="AE19" s="52">
        <f t="shared" si="19"/>
        <v>0</v>
      </c>
      <c r="AF19" s="71">
        <f t="shared" si="9"/>
        <v>0</v>
      </c>
      <c r="AG19" s="52">
        <f t="shared" si="10"/>
        <v>0</v>
      </c>
      <c r="AH19" s="52">
        <f t="shared" si="11"/>
        <v>0</v>
      </c>
    </row>
    <row r="20">
      <c r="A20" s="127">
        <v>46247.0</v>
      </c>
      <c r="B20" s="52">
        <v>2026.0</v>
      </c>
      <c r="C20" s="52"/>
      <c r="D20" s="52" t="s">
        <v>136</v>
      </c>
      <c r="E20" s="52" t="s">
        <v>77</v>
      </c>
      <c r="F20" s="52"/>
      <c r="G20" s="52" t="s">
        <v>223</v>
      </c>
      <c r="H20" s="52">
        <v>277.0</v>
      </c>
      <c r="I20" s="52"/>
      <c r="J20" s="52"/>
      <c r="K20" s="52"/>
      <c r="L20" s="52"/>
      <c r="M20" s="52"/>
      <c r="N20" s="52"/>
      <c r="O20" s="52" t="s">
        <v>210</v>
      </c>
      <c r="P20" s="52"/>
      <c r="Q20" s="52"/>
      <c r="R20" s="52"/>
      <c r="S20" s="126" t="s">
        <v>96</v>
      </c>
      <c r="T20" s="118" t="s">
        <v>214</v>
      </c>
      <c r="U20" s="4"/>
      <c r="V20" s="4"/>
      <c r="W20" s="67">
        <v>46419.0</v>
      </c>
      <c r="X20" s="52">
        <f t="shared" ref="X20:AE20" si="20">SUMIFS($K$11:$K$1000,$U$11:$U$1000,$W20,$E$11:$E$1000,X$11)</f>
        <v>0</v>
      </c>
      <c r="Y20" s="52">
        <f t="shared" si="20"/>
        <v>0</v>
      </c>
      <c r="Z20" s="52">
        <f t="shared" si="20"/>
        <v>0</v>
      </c>
      <c r="AA20" s="52">
        <f t="shared" si="20"/>
        <v>0</v>
      </c>
      <c r="AB20" s="52">
        <f t="shared" si="20"/>
        <v>0</v>
      </c>
      <c r="AC20" s="52">
        <f t="shared" si="20"/>
        <v>0</v>
      </c>
      <c r="AD20" s="52">
        <f t="shared" si="20"/>
        <v>0</v>
      </c>
      <c r="AE20" s="52">
        <f t="shared" si="20"/>
        <v>0</v>
      </c>
      <c r="AF20" s="71">
        <f t="shared" si="9"/>
        <v>0</v>
      </c>
      <c r="AG20" s="52">
        <f t="shared" si="10"/>
        <v>0</v>
      </c>
      <c r="AH20" s="52">
        <f t="shared" si="11"/>
        <v>0</v>
      </c>
    </row>
    <row r="21" ht="15.75" customHeight="1">
      <c r="A21" s="4"/>
      <c r="B21" s="4"/>
      <c r="C21" s="4"/>
      <c r="D21" s="23"/>
      <c r="E21" s="23"/>
      <c r="F21" s="23"/>
      <c r="G21" s="4"/>
      <c r="H21" s="4"/>
      <c r="I21" s="4"/>
      <c r="J21" s="4"/>
      <c r="K21" s="130"/>
      <c r="L21" s="23"/>
      <c r="M21" s="4"/>
      <c r="N21" s="4"/>
      <c r="O21" s="23"/>
      <c r="P21" s="4"/>
      <c r="Q21" s="131"/>
      <c r="R21" s="131"/>
      <c r="S21" s="131"/>
      <c r="T21" s="4"/>
      <c r="U21" s="4"/>
      <c r="V21" s="4"/>
      <c r="W21" s="67">
        <v>46447.0</v>
      </c>
      <c r="X21" s="52">
        <f t="shared" ref="X21:AE21" si="21">SUMIFS($K$11:$K$1000,$U$11:$U$1000,$W21,$E$11:$E$1000,X$11)</f>
        <v>0</v>
      </c>
      <c r="Y21" s="52">
        <f t="shared" si="21"/>
        <v>0</v>
      </c>
      <c r="Z21" s="52">
        <f t="shared" si="21"/>
        <v>0</v>
      </c>
      <c r="AA21" s="52">
        <f t="shared" si="21"/>
        <v>0</v>
      </c>
      <c r="AB21" s="52">
        <f t="shared" si="21"/>
        <v>0</v>
      </c>
      <c r="AC21" s="52">
        <f t="shared" si="21"/>
        <v>0</v>
      </c>
      <c r="AD21" s="52">
        <f t="shared" si="21"/>
        <v>0</v>
      </c>
      <c r="AE21" s="52">
        <f t="shared" si="21"/>
        <v>0</v>
      </c>
      <c r="AF21" s="71">
        <f t="shared" si="9"/>
        <v>0</v>
      </c>
      <c r="AG21" s="52">
        <f t="shared" si="10"/>
        <v>0</v>
      </c>
      <c r="AH21" s="52">
        <f t="shared" si="11"/>
        <v>0</v>
      </c>
    </row>
    <row r="22" ht="15.75" customHeight="1">
      <c r="A22" s="4"/>
      <c r="B22" s="4"/>
      <c r="C22" s="4"/>
      <c r="D22" s="23"/>
      <c r="E22" s="23"/>
      <c r="F22" s="23"/>
      <c r="G22" s="4"/>
      <c r="H22" s="4"/>
      <c r="I22" s="4"/>
      <c r="J22" s="4"/>
      <c r="K22" s="130"/>
      <c r="L22" s="23"/>
      <c r="M22" s="4"/>
      <c r="N22" s="4"/>
      <c r="O22" s="23"/>
      <c r="P22" s="4"/>
      <c r="Q22" s="131"/>
      <c r="R22" s="131"/>
      <c r="S22" s="131"/>
      <c r="T22" s="4"/>
      <c r="U22" s="4"/>
      <c r="V22" s="4"/>
      <c r="W22" s="67">
        <v>46478.0</v>
      </c>
      <c r="X22" s="52">
        <f t="shared" ref="X22:AE22" si="22">SUMIFS($K$11:$K$1000,$U$11:$U$1000,$W22,$E$11:$E$1000,X$11)</f>
        <v>0</v>
      </c>
      <c r="Y22" s="52">
        <f t="shared" si="22"/>
        <v>0</v>
      </c>
      <c r="Z22" s="52">
        <f t="shared" si="22"/>
        <v>0</v>
      </c>
      <c r="AA22" s="52">
        <f t="shared" si="22"/>
        <v>0</v>
      </c>
      <c r="AB22" s="52">
        <f t="shared" si="22"/>
        <v>0</v>
      </c>
      <c r="AC22" s="52">
        <f t="shared" si="22"/>
        <v>0</v>
      </c>
      <c r="AD22" s="52">
        <f t="shared" si="22"/>
        <v>0</v>
      </c>
      <c r="AE22" s="52">
        <f t="shared" si="22"/>
        <v>0</v>
      </c>
      <c r="AF22" s="71">
        <f t="shared" si="9"/>
        <v>0</v>
      </c>
      <c r="AG22" s="52">
        <f t="shared" si="10"/>
        <v>0</v>
      </c>
      <c r="AH22" s="52">
        <f t="shared" si="11"/>
        <v>0</v>
      </c>
    </row>
    <row r="23" ht="15.75" customHeight="1">
      <c r="A23" s="4"/>
      <c r="B23" s="4"/>
      <c r="C23" s="4"/>
      <c r="D23" s="23"/>
      <c r="E23" s="23"/>
      <c r="F23" s="23"/>
      <c r="G23" s="4"/>
      <c r="H23" s="4"/>
      <c r="I23" s="4"/>
      <c r="J23" s="4"/>
      <c r="K23" s="130"/>
      <c r="L23" s="23"/>
      <c r="M23" s="4"/>
      <c r="N23" s="4"/>
      <c r="O23" s="23"/>
      <c r="P23" s="4"/>
      <c r="Q23" s="131"/>
      <c r="R23" s="131"/>
      <c r="S23" s="131"/>
      <c r="T23" s="4"/>
      <c r="U23" s="4"/>
      <c r="V23" s="4"/>
      <c r="W23" s="67">
        <v>46508.0</v>
      </c>
      <c r="X23" s="52">
        <f t="shared" ref="X23:AE23" si="23">SUMIFS($K$11:$K$1000,$U$11:$U$1000,$W23,$E$11:$E$1000,X$11)</f>
        <v>0</v>
      </c>
      <c r="Y23" s="52">
        <f t="shared" si="23"/>
        <v>0</v>
      </c>
      <c r="Z23" s="52">
        <f t="shared" si="23"/>
        <v>0</v>
      </c>
      <c r="AA23" s="52">
        <f t="shared" si="23"/>
        <v>0</v>
      </c>
      <c r="AB23" s="52">
        <f t="shared" si="23"/>
        <v>0</v>
      </c>
      <c r="AC23" s="52">
        <f t="shared" si="23"/>
        <v>0</v>
      </c>
      <c r="AD23" s="52">
        <f t="shared" si="23"/>
        <v>0</v>
      </c>
      <c r="AE23" s="52">
        <f t="shared" si="23"/>
        <v>0</v>
      </c>
      <c r="AF23" s="71">
        <f t="shared" si="9"/>
        <v>0</v>
      </c>
      <c r="AG23" s="52">
        <f t="shared" si="10"/>
        <v>0</v>
      </c>
      <c r="AH23" s="52">
        <f t="shared" si="11"/>
        <v>0</v>
      </c>
    </row>
    <row r="24" ht="15.75" customHeight="1">
      <c r="A24" s="4"/>
      <c r="B24" s="4"/>
      <c r="C24" s="4"/>
      <c r="D24" s="23"/>
      <c r="E24" s="23"/>
      <c r="F24" s="23"/>
      <c r="G24" s="4"/>
      <c r="H24" s="4"/>
      <c r="I24" s="4"/>
      <c r="J24" s="4"/>
      <c r="K24" s="130"/>
      <c r="L24" s="23"/>
      <c r="M24" s="4"/>
      <c r="N24" s="4"/>
      <c r="O24" s="23"/>
      <c r="P24" s="4"/>
      <c r="Q24" s="131"/>
      <c r="R24" s="131"/>
      <c r="S24" s="131"/>
      <c r="T24" s="4"/>
      <c r="U24" s="4"/>
      <c r="V24" s="4"/>
      <c r="W24" s="67">
        <v>46539.0</v>
      </c>
      <c r="X24" s="52">
        <f t="shared" ref="X24:AE24" si="24">SUMIFS($K$11:$K$1000,$U$11:$U$1000,$W24,$E$11:$E$1000,X$11)</f>
        <v>0</v>
      </c>
      <c r="Y24" s="52">
        <f t="shared" si="24"/>
        <v>0</v>
      </c>
      <c r="Z24" s="52">
        <f t="shared" si="24"/>
        <v>0</v>
      </c>
      <c r="AA24" s="52">
        <f t="shared" si="24"/>
        <v>0</v>
      </c>
      <c r="AB24" s="52">
        <f t="shared" si="24"/>
        <v>0</v>
      </c>
      <c r="AC24" s="52">
        <f t="shared" si="24"/>
        <v>0</v>
      </c>
      <c r="AD24" s="52">
        <f t="shared" si="24"/>
        <v>0</v>
      </c>
      <c r="AE24" s="52">
        <f t="shared" si="24"/>
        <v>0</v>
      </c>
      <c r="AF24" s="71">
        <f t="shared" si="9"/>
        <v>0</v>
      </c>
      <c r="AG24" s="52">
        <f t="shared" si="10"/>
        <v>0</v>
      </c>
      <c r="AH24" s="52">
        <f t="shared" si="11"/>
        <v>0</v>
      </c>
    </row>
    <row r="25" ht="15.75" customHeight="1">
      <c r="A25" s="4"/>
      <c r="B25" s="4"/>
      <c r="C25" s="4"/>
      <c r="D25" s="23"/>
      <c r="E25" s="23"/>
      <c r="F25" s="23"/>
      <c r="G25" s="4"/>
      <c r="H25" s="4"/>
      <c r="I25" s="4"/>
      <c r="J25" s="4"/>
      <c r="K25" s="130"/>
      <c r="L25" s="23"/>
      <c r="M25" s="4"/>
      <c r="N25" s="4"/>
      <c r="O25" s="23"/>
      <c r="P25" s="4"/>
      <c r="Q25" s="131"/>
      <c r="R25" s="131"/>
      <c r="S25" s="131"/>
      <c r="T25" s="4"/>
      <c r="U25" s="4"/>
      <c r="V25" s="4"/>
      <c r="W25" s="134" t="s">
        <v>249</v>
      </c>
      <c r="X25" s="135">
        <f t="shared" ref="X25:AH25" si="25">SUM(X12:X24)</f>
        <v>3325.38</v>
      </c>
      <c r="Y25" s="135">
        <f t="shared" si="25"/>
        <v>87</v>
      </c>
      <c r="Z25" s="135">
        <f t="shared" si="25"/>
        <v>0</v>
      </c>
      <c r="AA25" s="135">
        <f t="shared" si="25"/>
        <v>0</v>
      </c>
      <c r="AB25" s="135">
        <f t="shared" si="25"/>
        <v>0</v>
      </c>
      <c r="AC25" s="135">
        <f t="shared" si="25"/>
        <v>37.975</v>
      </c>
      <c r="AD25" s="135">
        <f t="shared" si="25"/>
        <v>0</v>
      </c>
      <c r="AE25" s="135">
        <f t="shared" si="25"/>
        <v>220.48</v>
      </c>
      <c r="AF25" s="135">
        <f t="shared" si="25"/>
        <v>3670.835</v>
      </c>
      <c r="AG25" s="135">
        <f t="shared" si="25"/>
        <v>87</v>
      </c>
      <c r="AH25" s="135">
        <f t="shared" si="25"/>
        <v>258.455</v>
      </c>
    </row>
    <row r="26" ht="15.75" customHeight="1">
      <c r="A26" s="4"/>
      <c r="B26" s="4"/>
      <c r="C26" s="4"/>
      <c r="D26" s="23"/>
      <c r="E26" s="23"/>
      <c r="F26" s="23"/>
      <c r="G26" s="4"/>
      <c r="H26" s="4"/>
      <c r="I26" s="4"/>
      <c r="J26" s="4"/>
      <c r="K26" s="130"/>
      <c r="L26" s="23"/>
      <c r="M26" s="4"/>
      <c r="N26" s="4"/>
      <c r="O26" s="23"/>
      <c r="P26" s="4"/>
      <c r="Q26" s="131"/>
      <c r="R26" s="131"/>
      <c r="S26" s="131"/>
      <c r="T26" s="4"/>
      <c r="U26" s="4"/>
      <c r="V26" s="4"/>
      <c r="W26" s="4"/>
      <c r="X26" s="4"/>
      <c r="Y26" s="4"/>
      <c r="Z26" s="4"/>
      <c r="AA26" s="4"/>
      <c r="AB26" s="4"/>
      <c r="AC26" s="4"/>
      <c r="AD26" s="4"/>
      <c r="AE26" s="4"/>
      <c r="AF26" s="4"/>
      <c r="AG26" s="4"/>
      <c r="AH26" s="4"/>
    </row>
    <row r="27" ht="15.75" customHeight="1">
      <c r="A27" s="4"/>
      <c r="B27" s="4"/>
      <c r="C27" s="4"/>
      <c r="D27" s="23"/>
      <c r="E27" s="23"/>
      <c r="F27" s="23"/>
      <c r="G27" s="4"/>
      <c r="H27" s="4"/>
      <c r="I27" s="4"/>
      <c r="J27" s="4"/>
      <c r="K27" s="130"/>
      <c r="L27" s="23"/>
      <c r="M27" s="4"/>
      <c r="N27" s="4"/>
      <c r="O27" s="23"/>
      <c r="P27" s="4"/>
      <c r="Q27" s="131"/>
      <c r="R27" s="131"/>
      <c r="S27" s="131"/>
      <c r="T27" s="4"/>
      <c r="U27" s="4"/>
      <c r="V27" s="4"/>
      <c r="W27" s="4"/>
      <c r="X27" s="4"/>
      <c r="Y27" s="4"/>
      <c r="Z27" s="4"/>
      <c r="AA27" s="4"/>
      <c r="AB27" s="4"/>
      <c r="AC27" s="4"/>
      <c r="AD27" s="4"/>
      <c r="AE27" s="4"/>
      <c r="AF27" s="4"/>
      <c r="AG27" s="4"/>
      <c r="AH27" s="4"/>
    </row>
    <row r="28" ht="15.75" customHeight="1">
      <c r="A28" s="4"/>
      <c r="B28" s="4"/>
      <c r="C28" s="4"/>
      <c r="D28" s="23"/>
      <c r="E28" s="23"/>
      <c r="F28" s="23"/>
      <c r="G28" s="4"/>
      <c r="H28" s="4"/>
      <c r="I28" s="4"/>
      <c r="J28" s="4"/>
      <c r="K28" s="130"/>
      <c r="L28" s="23"/>
      <c r="M28" s="4"/>
      <c r="N28" s="4"/>
      <c r="O28" s="23"/>
      <c r="P28" s="4"/>
      <c r="Q28" s="131"/>
      <c r="R28" s="131"/>
      <c r="S28" s="131"/>
      <c r="T28" s="4"/>
      <c r="U28" s="4"/>
      <c r="V28" s="4"/>
      <c r="W28" s="136" t="s">
        <v>257</v>
      </c>
      <c r="X28" s="2"/>
      <c r="Y28" s="2"/>
      <c r="Z28" s="2"/>
      <c r="AA28" s="2"/>
      <c r="AB28" s="2"/>
      <c r="AC28" s="2"/>
      <c r="AD28" s="3"/>
      <c r="AE28" s="4"/>
      <c r="AF28" s="4"/>
      <c r="AG28" s="4"/>
      <c r="AH28" s="4"/>
    </row>
    <row r="29" ht="25.5" customHeight="1">
      <c r="A29" s="4"/>
      <c r="B29" s="4"/>
      <c r="C29" s="4"/>
      <c r="D29" s="23"/>
      <c r="E29" s="23"/>
      <c r="F29" s="23"/>
      <c r="G29" s="4"/>
      <c r="H29" s="4"/>
      <c r="I29" s="4"/>
      <c r="J29" s="4"/>
      <c r="K29" s="130"/>
      <c r="L29" s="23"/>
      <c r="M29" s="4"/>
      <c r="N29" s="4"/>
      <c r="O29" s="23"/>
      <c r="P29" s="4"/>
      <c r="Q29" s="131"/>
      <c r="R29" s="131"/>
      <c r="S29" s="131"/>
      <c r="T29" s="4"/>
      <c r="U29" s="4"/>
      <c r="V29" s="4"/>
      <c r="W29" s="21" t="s">
        <v>260</v>
      </c>
      <c r="AE29" s="4"/>
      <c r="AF29" s="4"/>
      <c r="AG29" s="4"/>
      <c r="AH29" s="4"/>
    </row>
    <row r="30" ht="15.75" customHeight="1">
      <c r="A30" s="4"/>
      <c r="B30" s="4"/>
      <c r="C30" s="4"/>
      <c r="D30" s="23"/>
      <c r="E30" s="23"/>
      <c r="F30" s="23"/>
      <c r="G30" s="4"/>
      <c r="H30" s="4"/>
      <c r="I30" s="4"/>
      <c r="J30" s="4"/>
      <c r="K30" s="130"/>
      <c r="L30" s="23"/>
      <c r="M30" s="4"/>
      <c r="N30" s="4"/>
      <c r="O30" s="23"/>
      <c r="P30" s="4"/>
      <c r="Q30" s="131"/>
      <c r="R30" s="131"/>
      <c r="S30" s="131"/>
      <c r="T30" s="4"/>
      <c r="U30" s="4"/>
      <c r="V30" s="4"/>
      <c r="W30" s="137" t="s">
        <v>261</v>
      </c>
      <c r="X30" s="137" t="s">
        <v>262</v>
      </c>
      <c r="Y30" s="137" t="s">
        <v>263</v>
      </c>
      <c r="Z30" s="137" t="s">
        <v>264</v>
      </c>
      <c r="AA30" s="137" t="s">
        <v>265</v>
      </c>
      <c r="AB30" s="137" t="s">
        <v>266</v>
      </c>
      <c r="AC30" s="137" t="s">
        <v>267</v>
      </c>
      <c r="AD30" s="137" t="s">
        <v>268</v>
      </c>
      <c r="AE30" s="4"/>
      <c r="AF30" s="4"/>
      <c r="AG30" s="4"/>
      <c r="AH30" s="4"/>
    </row>
    <row r="31" ht="15.75" customHeight="1">
      <c r="A31" s="4"/>
      <c r="B31" s="4"/>
      <c r="C31" s="4"/>
      <c r="D31" s="23"/>
      <c r="E31" s="23"/>
      <c r="F31" s="23"/>
      <c r="G31" s="4"/>
      <c r="H31" s="4"/>
      <c r="I31" s="4"/>
      <c r="J31" s="4"/>
      <c r="K31" s="130"/>
      <c r="L31" s="23"/>
      <c r="M31" s="4"/>
      <c r="N31" s="4"/>
      <c r="O31" s="23"/>
      <c r="P31" s="4"/>
      <c r="Q31" s="131"/>
      <c r="R31" s="131"/>
      <c r="S31" s="131"/>
      <c r="T31" s="4"/>
      <c r="U31" s="4"/>
      <c r="V31" s="4"/>
      <c r="W31" s="138"/>
      <c r="X31" s="138"/>
      <c r="Y31" s="138"/>
      <c r="Z31" s="138"/>
      <c r="AA31" s="138"/>
      <c r="AB31" s="138"/>
      <c r="AC31" s="138"/>
      <c r="AD31" s="138"/>
      <c r="AE31" s="4"/>
      <c r="AF31" s="4"/>
      <c r="AG31" s="4"/>
      <c r="AH31" s="4"/>
    </row>
    <row r="32" ht="15.75" customHeight="1">
      <c r="A32" s="4"/>
      <c r="B32" s="4"/>
      <c r="C32" s="4"/>
      <c r="D32" s="23"/>
      <c r="E32" s="23"/>
      <c r="F32" s="23"/>
      <c r="G32" s="4"/>
      <c r="H32" s="4"/>
      <c r="I32" s="4"/>
      <c r="J32" s="4"/>
      <c r="K32" s="130"/>
      <c r="L32" s="23"/>
      <c r="M32" s="4"/>
      <c r="N32" s="4"/>
      <c r="O32" s="23"/>
      <c r="P32" s="4"/>
      <c r="Q32" s="131"/>
      <c r="R32" s="131"/>
      <c r="S32" s="131"/>
      <c r="T32" s="4"/>
      <c r="U32" s="4"/>
      <c r="V32" s="4"/>
      <c r="W32" s="138"/>
      <c r="X32" s="138"/>
      <c r="Y32" s="138"/>
      <c r="Z32" s="138"/>
      <c r="AA32" s="138"/>
      <c r="AB32" s="138"/>
      <c r="AC32" s="138"/>
      <c r="AD32" s="138"/>
      <c r="AE32" s="4"/>
      <c r="AF32" s="4"/>
      <c r="AG32" s="4"/>
      <c r="AH32" s="4"/>
    </row>
    <row r="33" ht="15.75" customHeight="1">
      <c r="A33" s="4"/>
      <c r="B33" s="4"/>
      <c r="C33" s="4"/>
      <c r="D33" s="23"/>
      <c r="E33" s="23"/>
      <c r="F33" s="23"/>
      <c r="G33" s="4"/>
      <c r="H33" s="4"/>
      <c r="I33" s="4"/>
      <c r="J33" s="4"/>
      <c r="K33" s="130"/>
      <c r="L33" s="23"/>
      <c r="M33" s="4"/>
      <c r="N33" s="4"/>
      <c r="O33" s="23"/>
      <c r="P33" s="4"/>
      <c r="Q33" s="131"/>
      <c r="R33" s="131"/>
      <c r="S33" s="131"/>
      <c r="T33" s="4"/>
      <c r="U33" s="4"/>
      <c r="V33" s="4"/>
      <c r="W33" s="138"/>
      <c r="X33" s="138"/>
      <c r="Y33" s="138"/>
      <c r="Z33" s="138"/>
      <c r="AA33" s="138"/>
      <c r="AB33" s="138"/>
      <c r="AC33" s="138"/>
      <c r="AD33" s="138"/>
      <c r="AE33" s="4"/>
      <c r="AF33" s="4"/>
      <c r="AG33" s="4"/>
      <c r="AH33" s="4"/>
    </row>
    <row r="34" ht="15.75" customHeight="1">
      <c r="A34" s="4"/>
      <c r="B34" s="4"/>
      <c r="C34" s="4"/>
      <c r="D34" s="23"/>
      <c r="E34" s="23"/>
      <c r="F34" s="23"/>
      <c r="G34" s="4"/>
      <c r="H34" s="4"/>
      <c r="I34" s="4"/>
      <c r="J34" s="4"/>
      <c r="K34" s="130"/>
      <c r="L34" s="23"/>
      <c r="M34" s="4"/>
      <c r="N34" s="4"/>
      <c r="O34" s="23"/>
      <c r="P34" s="4"/>
      <c r="Q34" s="131"/>
      <c r="R34" s="131"/>
      <c r="S34" s="131"/>
      <c r="T34" s="4"/>
      <c r="U34" s="4"/>
      <c r="V34" s="4"/>
      <c r="W34" s="138"/>
      <c r="X34" s="138"/>
      <c r="Y34" s="138"/>
      <c r="Z34" s="138"/>
      <c r="AA34" s="138"/>
      <c r="AB34" s="138"/>
      <c r="AC34" s="138"/>
      <c r="AD34" s="138"/>
      <c r="AE34" s="4"/>
      <c r="AF34" s="4"/>
      <c r="AG34" s="4"/>
      <c r="AH34" s="4"/>
    </row>
    <row r="35" ht="15.75" customHeight="1">
      <c r="A35" s="4"/>
      <c r="B35" s="4"/>
      <c r="C35" s="4"/>
      <c r="D35" s="23"/>
      <c r="E35" s="23"/>
      <c r="F35" s="23"/>
      <c r="G35" s="4"/>
      <c r="H35" s="4"/>
      <c r="I35" s="4"/>
      <c r="J35" s="4"/>
      <c r="K35" s="130"/>
      <c r="L35" s="23"/>
      <c r="M35" s="4"/>
      <c r="N35" s="4"/>
      <c r="O35" s="23"/>
      <c r="P35" s="4"/>
      <c r="Q35" s="131"/>
      <c r="R35" s="131"/>
      <c r="S35" s="131"/>
      <c r="T35" s="4"/>
      <c r="U35" s="4"/>
      <c r="V35" s="4"/>
      <c r="W35" s="138"/>
      <c r="X35" s="138"/>
      <c r="Y35" s="138"/>
      <c r="Z35" s="138"/>
      <c r="AA35" s="138"/>
      <c r="AB35" s="138"/>
      <c r="AC35" s="138"/>
      <c r="AD35" s="138"/>
      <c r="AE35" s="4"/>
      <c r="AF35" s="4"/>
      <c r="AG35" s="4"/>
      <c r="AH35" s="4"/>
    </row>
    <row r="36" ht="15.75" customHeight="1">
      <c r="A36" s="4"/>
      <c r="B36" s="4"/>
      <c r="C36" s="4"/>
      <c r="D36" s="23"/>
      <c r="E36" s="23"/>
      <c r="F36" s="23"/>
      <c r="G36" s="4"/>
      <c r="H36" s="4"/>
      <c r="I36" s="4"/>
      <c r="J36" s="4"/>
      <c r="K36" s="130"/>
      <c r="L36" s="23"/>
      <c r="M36" s="4"/>
      <c r="N36" s="4"/>
      <c r="O36" s="23"/>
      <c r="P36" s="4"/>
      <c r="Q36" s="131"/>
      <c r="R36" s="131"/>
      <c r="S36" s="131"/>
      <c r="T36" s="4"/>
      <c r="U36" s="4"/>
      <c r="V36" s="4"/>
      <c r="W36" s="4"/>
      <c r="X36" s="4"/>
      <c r="Y36" s="4"/>
      <c r="Z36" s="4"/>
      <c r="AA36" s="4"/>
      <c r="AB36" s="4"/>
      <c r="AC36" s="4"/>
      <c r="AD36" s="4"/>
      <c r="AE36" s="4"/>
      <c r="AF36" s="4"/>
      <c r="AG36" s="4"/>
      <c r="AH36" s="4"/>
    </row>
    <row r="37" ht="15.75" customHeight="1">
      <c r="A37" s="4"/>
      <c r="B37" s="4"/>
      <c r="C37" s="4"/>
      <c r="D37" s="23"/>
      <c r="E37" s="23"/>
      <c r="F37" s="23"/>
      <c r="G37" s="4"/>
      <c r="H37" s="4"/>
      <c r="I37" s="4"/>
      <c r="J37" s="4"/>
      <c r="K37" s="130"/>
      <c r="L37" s="23"/>
      <c r="M37" s="4"/>
      <c r="N37" s="4"/>
      <c r="O37" s="23"/>
      <c r="P37" s="4"/>
      <c r="Q37" s="131"/>
      <c r="R37" s="131"/>
      <c r="S37" s="131"/>
      <c r="T37" s="4"/>
      <c r="U37" s="4"/>
      <c r="V37" s="4"/>
      <c r="W37" s="4"/>
      <c r="X37" s="4"/>
      <c r="Y37" s="4"/>
      <c r="Z37" s="4"/>
      <c r="AA37" s="4"/>
      <c r="AB37" s="4"/>
      <c r="AC37" s="4"/>
      <c r="AD37" s="4"/>
      <c r="AE37" s="4"/>
      <c r="AF37" s="4"/>
      <c r="AG37" s="4"/>
      <c r="AH37" s="4"/>
    </row>
    <row r="38" ht="15.75" customHeight="1">
      <c r="A38" s="4"/>
      <c r="B38" s="4"/>
      <c r="C38" s="4"/>
      <c r="D38" s="23"/>
      <c r="E38" s="23"/>
      <c r="F38" s="23"/>
      <c r="G38" s="4"/>
      <c r="H38" s="4"/>
      <c r="I38" s="4"/>
      <c r="J38" s="4"/>
      <c r="K38" s="130"/>
      <c r="L38" s="23"/>
      <c r="M38" s="4"/>
      <c r="N38" s="4"/>
      <c r="O38" s="23"/>
      <c r="P38" s="4"/>
      <c r="Q38" s="131"/>
      <c r="R38" s="131"/>
      <c r="S38" s="131"/>
      <c r="T38" s="4"/>
      <c r="U38" s="4"/>
      <c r="V38" s="4"/>
      <c r="W38" s="41" t="s">
        <v>269</v>
      </c>
      <c r="X38" s="2"/>
      <c r="Y38" s="2"/>
      <c r="Z38" s="2"/>
      <c r="AA38" s="2"/>
      <c r="AB38" s="2"/>
      <c r="AC38" s="2"/>
      <c r="AD38" s="2"/>
      <c r="AE38" s="2"/>
      <c r="AF38" s="2"/>
      <c r="AG38" s="2"/>
      <c r="AH38" s="3"/>
    </row>
    <row r="39" ht="15.75" customHeight="1">
      <c r="A39" s="4"/>
      <c r="B39" s="4"/>
      <c r="C39" s="4"/>
      <c r="D39" s="23"/>
      <c r="E39" s="23"/>
      <c r="F39" s="23"/>
      <c r="G39" s="4"/>
      <c r="H39" s="4"/>
      <c r="I39" s="4"/>
      <c r="J39" s="4"/>
      <c r="K39" s="4"/>
      <c r="L39" s="23"/>
      <c r="M39" s="4"/>
      <c r="N39" s="4"/>
      <c r="O39" s="23"/>
      <c r="P39" s="4"/>
      <c r="Q39" s="131"/>
      <c r="R39" s="131"/>
      <c r="S39" s="131"/>
      <c r="T39" s="4"/>
      <c r="U39" s="4"/>
      <c r="V39" s="4"/>
      <c r="W39" s="39" t="s">
        <v>72</v>
      </c>
      <c r="X39" s="139" t="s">
        <v>54</v>
      </c>
      <c r="Y39" s="139" t="s">
        <v>57</v>
      </c>
      <c r="Z39" s="139" t="s">
        <v>16</v>
      </c>
      <c r="AA39" s="39" t="s">
        <v>62</v>
      </c>
      <c r="AB39" s="39" t="s">
        <v>63</v>
      </c>
      <c r="AC39" s="39" t="s">
        <v>64</v>
      </c>
      <c r="AD39" s="39" t="s">
        <v>66</v>
      </c>
      <c r="AE39" s="39"/>
      <c r="AF39" s="39"/>
      <c r="AG39" s="39"/>
      <c r="AH39" s="39"/>
    </row>
    <row r="40" ht="32.25" customHeight="1">
      <c r="A40" s="4"/>
      <c r="B40" s="4"/>
      <c r="C40" s="4"/>
      <c r="D40" s="23"/>
      <c r="E40" s="23"/>
      <c r="F40" s="23"/>
      <c r="G40" s="4"/>
      <c r="H40" s="4"/>
      <c r="I40" s="4"/>
      <c r="J40" s="4"/>
      <c r="K40" s="4"/>
      <c r="L40" s="23"/>
      <c r="M40" s="4"/>
      <c r="N40" s="4"/>
      <c r="O40" s="23"/>
      <c r="P40" s="4"/>
      <c r="Q40" s="131"/>
      <c r="R40" s="131"/>
      <c r="S40" s="131"/>
      <c r="T40" s="4"/>
      <c r="U40" s="4"/>
      <c r="V40" s="4"/>
      <c r="W40" s="140">
        <v>46419.0</v>
      </c>
      <c r="X40" s="138"/>
      <c r="Y40" s="138">
        <f t="shared" ref="Y40:Y43" si="26">(X40/0.5)</f>
        <v>0</v>
      </c>
      <c r="Z40" s="138"/>
      <c r="AA40" s="138"/>
      <c r="AB40" s="138"/>
      <c r="AC40" s="138"/>
      <c r="AD40" s="138"/>
      <c r="AE40" s="138"/>
      <c r="AF40" s="138"/>
      <c r="AG40" s="138"/>
      <c r="AH40" s="138"/>
    </row>
    <row r="41" ht="31.5" customHeight="1">
      <c r="A41" s="4"/>
      <c r="B41" s="4"/>
      <c r="C41" s="4"/>
      <c r="D41" s="23"/>
      <c r="E41" s="23"/>
      <c r="F41" s="23"/>
      <c r="G41" s="4"/>
      <c r="H41" s="4"/>
      <c r="I41" s="4"/>
      <c r="J41" s="4"/>
      <c r="K41" s="4"/>
      <c r="L41" s="23"/>
      <c r="M41" s="4"/>
      <c r="N41" s="4"/>
      <c r="O41" s="23"/>
      <c r="P41" s="4"/>
      <c r="Q41" s="131"/>
      <c r="R41" s="131"/>
      <c r="S41" s="131"/>
      <c r="T41" s="4"/>
      <c r="U41" s="4"/>
      <c r="V41" s="4"/>
      <c r="W41" s="141">
        <v>46478.0</v>
      </c>
      <c r="X41" s="138"/>
      <c r="Y41" s="138">
        <f t="shared" si="26"/>
        <v>0</v>
      </c>
      <c r="Z41" s="138"/>
      <c r="AA41" s="138"/>
      <c r="AB41" s="138"/>
      <c r="AC41" s="138"/>
      <c r="AD41" s="138"/>
      <c r="AE41" s="138"/>
      <c r="AF41" s="138"/>
      <c r="AG41" s="138"/>
      <c r="AH41" s="138"/>
    </row>
    <row r="42" ht="30.0" customHeight="1">
      <c r="A42" s="4"/>
      <c r="B42" s="4"/>
      <c r="C42" s="4"/>
      <c r="D42" s="23"/>
      <c r="E42" s="23"/>
      <c r="F42" s="23"/>
      <c r="G42" s="4"/>
      <c r="H42" s="4"/>
      <c r="I42" s="4"/>
      <c r="J42" s="4"/>
      <c r="K42" s="4"/>
      <c r="L42" s="23"/>
      <c r="M42" s="4"/>
      <c r="N42" s="4"/>
      <c r="O42" s="23"/>
      <c r="P42" s="4"/>
      <c r="Q42" s="131"/>
      <c r="R42" s="131"/>
      <c r="S42" s="131"/>
      <c r="T42" s="4"/>
      <c r="U42" s="4"/>
      <c r="V42" s="4"/>
      <c r="W42" s="140">
        <v>46569.0</v>
      </c>
      <c r="X42" s="138"/>
      <c r="Y42" s="138">
        <f t="shared" si="26"/>
        <v>0</v>
      </c>
      <c r="Z42" s="138"/>
      <c r="AA42" s="138"/>
      <c r="AB42" s="138"/>
      <c r="AC42" s="138"/>
      <c r="AD42" s="138"/>
      <c r="AE42" s="138"/>
      <c r="AF42" s="138"/>
      <c r="AG42" s="138"/>
      <c r="AH42" s="138"/>
    </row>
    <row r="43" ht="30.75" customHeight="1">
      <c r="A43" s="4"/>
      <c r="B43" s="4"/>
      <c r="C43" s="4"/>
      <c r="D43" s="23"/>
      <c r="E43" s="23"/>
      <c r="F43" s="23"/>
      <c r="G43" s="4"/>
      <c r="H43" s="4"/>
      <c r="I43" s="4"/>
      <c r="J43" s="4"/>
      <c r="K43" s="4"/>
      <c r="L43" s="23"/>
      <c r="M43" s="4"/>
      <c r="N43" s="4"/>
      <c r="O43" s="23"/>
      <c r="P43" s="4"/>
      <c r="Q43" s="131"/>
      <c r="R43" s="131"/>
      <c r="S43" s="131"/>
      <c r="T43" s="4"/>
      <c r="U43" s="4"/>
      <c r="V43" s="4"/>
      <c r="W43" s="140">
        <v>46661.0</v>
      </c>
      <c r="X43" s="138"/>
      <c r="Y43" s="138">
        <f t="shared" si="26"/>
        <v>0</v>
      </c>
      <c r="Z43" s="138"/>
      <c r="AA43" s="138"/>
      <c r="AB43" s="138"/>
      <c r="AC43" s="138"/>
      <c r="AD43" s="138"/>
      <c r="AE43" s="138"/>
      <c r="AF43" s="138"/>
      <c r="AG43" s="138"/>
      <c r="AH43" s="138"/>
    </row>
    <row r="44" ht="15.75" customHeight="1">
      <c r="A44" s="4"/>
      <c r="B44" s="4"/>
      <c r="C44" s="4"/>
      <c r="D44" s="23"/>
      <c r="E44" s="23"/>
      <c r="F44" s="23"/>
      <c r="G44" s="4"/>
      <c r="H44" s="4"/>
      <c r="I44" s="4"/>
      <c r="J44" s="4"/>
      <c r="K44" s="4"/>
      <c r="L44" s="23"/>
      <c r="M44" s="4"/>
      <c r="N44" s="4"/>
      <c r="O44" s="23"/>
      <c r="P44" s="4"/>
      <c r="Q44" s="131"/>
      <c r="R44" s="131"/>
      <c r="S44" s="131"/>
      <c r="T44" s="4"/>
      <c r="U44" s="4"/>
      <c r="V44" s="4"/>
      <c r="W44" s="138"/>
      <c r="X44" s="138"/>
      <c r="Y44" s="138"/>
      <c r="Z44" s="138"/>
      <c r="AA44" s="138"/>
      <c r="AB44" s="138"/>
      <c r="AC44" s="138"/>
      <c r="AD44" s="138"/>
      <c r="AE44" s="138"/>
      <c r="AF44" s="138"/>
      <c r="AG44" s="138"/>
      <c r="AH44" s="138"/>
    </row>
    <row r="45" ht="15.75" customHeight="1">
      <c r="A45" s="4"/>
      <c r="B45" s="4"/>
      <c r="C45" s="4"/>
      <c r="D45" s="23"/>
      <c r="E45" s="23"/>
      <c r="F45" s="23"/>
      <c r="G45" s="4"/>
      <c r="H45" s="4"/>
      <c r="I45" s="4"/>
      <c r="J45" s="4"/>
      <c r="K45" s="4"/>
      <c r="L45" s="23"/>
      <c r="M45" s="4"/>
      <c r="N45" s="4"/>
      <c r="O45" s="23"/>
      <c r="P45" s="4"/>
      <c r="Q45" s="131"/>
      <c r="R45" s="131"/>
      <c r="S45" s="131"/>
      <c r="T45" s="4"/>
      <c r="U45" s="4"/>
      <c r="V45" s="4"/>
      <c r="W45" s="138"/>
      <c r="X45" s="138"/>
      <c r="Y45" s="138"/>
      <c r="Z45" s="138"/>
      <c r="AA45" s="138"/>
      <c r="AB45" s="138"/>
      <c r="AC45" s="138"/>
      <c r="AD45" s="138"/>
      <c r="AE45" s="138"/>
      <c r="AF45" s="138"/>
      <c r="AG45" s="138"/>
      <c r="AH45" s="138"/>
    </row>
    <row r="46" ht="15.75" customHeight="1">
      <c r="A46" s="4"/>
      <c r="B46" s="4"/>
      <c r="C46" s="4"/>
      <c r="D46" s="23"/>
      <c r="E46" s="23"/>
      <c r="F46" s="23"/>
      <c r="G46" s="4"/>
      <c r="H46" s="4"/>
      <c r="I46" s="4"/>
      <c r="J46" s="4"/>
      <c r="K46" s="4"/>
      <c r="L46" s="23"/>
      <c r="M46" s="4"/>
      <c r="N46" s="4"/>
      <c r="O46" s="23"/>
      <c r="P46" s="4"/>
      <c r="Q46" s="131"/>
      <c r="R46" s="131"/>
      <c r="S46" s="131"/>
      <c r="T46" s="4"/>
      <c r="U46" s="4"/>
      <c r="V46" s="4"/>
      <c r="W46" s="138"/>
      <c r="X46" s="138"/>
      <c r="Y46" s="138"/>
      <c r="Z46" s="138"/>
      <c r="AA46" s="138"/>
      <c r="AB46" s="138"/>
      <c r="AC46" s="138"/>
      <c r="AD46" s="138"/>
      <c r="AE46" s="138"/>
      <c r="AF46" s="138"/>
      <c r="AG46" s="138"/>
      <c r="AH46" s="138"/>
    </row>
    <row r="47" ht="15.75" customHeight="1">
      <c r="A47" s="4"/>
      <c r="B47" s="4"/>
      <c r="C47" s="4"/>
      <c r="D47" s="23"/>
      <c r="E47" s="23"/>
      <c r="F47" s="23"/>
      <c r="G47" s="4"/>
      <c r="H47" s="4"/>
      <c r="I47" s="4"/>
      <c r="J47" s="4"/>
      <c r="K47" s="4"/>
      <c r="L47" s="23"/>
      <c r="M47" s="4"/>
      <c r="N47" s="4"/>
      <c r="O47" s="23"/>
      <c r="P47" s="4"/>
      <c r="Q47" s="131"/>
      <c r="R47" s="131"/>
      <c r="S47" s="131"/>
      <c r="T47" s="4"/>
      <c r="U47" s="4"/>
      <c r="V47" s="4"/>
      <c r="W47" s="138"/>
      <c r="X47" s="138"/>
      <c r="Y47" s="138"/>
      <c r="Z47" s="138"/>
      <c r="AA47" s="138"/>
      <c r="AB47" s="138"/>
      <c r="AC47" s="138"/>
      <c r="AD47" s="138"/>
      <c r="AE47" s="138"/>
      <c r="AF47" s="138"/>
      <c r="AG47" s="138"/>
      <c r="AH47" s="138"/>
    </row>
    <row r="48" ht="15.75" customHeight="1">
      <c r="A48" s="4"/>
      <c r="B48" s="4"/>
      <c r="C48" s="4"/>
      <c r="D48" s="23"/>
      <c r="E48" s="23"/>
      <c r="F48" s="23"/>
      <c r="G48" s="4"/>
      <c r="H48" s="4"/>
      <c r="I48" s="4"/>
      <c r="J48" s="4"/>
      <c r="K48" s="4"/>
      <c r="L48" s="23"/>
      <c r="M48" s="4"/>
      <c r="N48" s="4"/>
      <c r="O48" s="23"/>
      <c r="P48" s="4"/>
      <c r="Q48" s="131"/>
      <c r="R48" s="131"/>
      <c r="S48" s="131"/>
      <c r="T48" s="4"/>
      <c r="U48" s="4"/>
      <c r="V48" s="4"/>
      <c r="W48" s="138"/>
      <c r="X48" s="138"/>
      <c r="Y48" s="138"/>
      <c r="Z48" s="138"/>
      <c r="AA48" s="138"/>
      <c r="AB48" s="138"/>
      <c r="AC48" s="138"/>
      <c r="AD48" s="138"/>
      <c r="AE48" s="138"/>
      <c r="AF48" s="138"/>
      <c r="AG48" s="138"/>
      <c r="AH48" s="138"/>
    </row>
    <row r="49" ht="15.75" customHeight="1">
      <c r="A49" s="4"/>
      <c r="B49" s="4"/>
      <c r="C49" s="4"/>
      <c r="D49" s="23"/>
      <c r="E49" s="23"/>
      <c r="F49" s="23"/>
      <c r="G49" s="4"/>
      <c r="H49" s="4"/>
      <c r="I49" s="4"/>
      <c r="J49" s="4"/>
      <c r="K49" s="4"/>
      <c r="L49" s="23"/>
      <c r="M49" s="4"/>
      <c r="N49" s="4"/>
      <c r="O49" s="23"/>
      <c r="P49" s="4"/>
      <c r="Q49" s="131"/>
      <c r="R49" s="131"/>
      <c r="S49" s="131"/>
      <c r="T49" s="4"/>
      <c r="U49" s="4"/>
      <c r="V49" s="4"/>
      <c r="W49" s="138"/>
      <c r="X49" s="138"/>
      <c r="Y49" s="138"/>
      <c r="Z49" s="138"/>
      <c r="AA49" s="138"/>
      <c r="AB49" s="138"/>
      <c r="AC49" s="138"/>
      <c r="AD49" s="138"/>
      <c r="AE49" s="138"/>
      <c r="AF49" s="138"/>
      <c r="AG49" s="138"/>
      <c r="AH49" s="138"/>
    </row>
    <row r="50" ht="15.75" customHeight="1">
      <c r="A50" s="4"/>
      <c r="B50" s="4"/>
      <c r="C50" s="4"/>
      <c r="D50" s="23"/>
      <c r="E50" s="23"/>
      <c r="F50" s="23"/>
      <c r="G50" s="4"/>
      <c r="H50" s="4"/>
      <c r="I50" s="4"/>
      <c r="J50" s="4"/>
      <c r="K50" s="4"/>
      <c r="L50" s="23"/>
      <c r="M50" s="4"/>
      <c r="N50" s="4"/>
      <c r="O50" s="23"/>
      <c r="P50" s="4"/>
      <c r="Q50" s="131"/>
      <c r="R50" s="131"/>
      <c r="S50" s="131"/>
      <c r="T50" s="4"/>
      <c r="U50" s="4"/>
      <c r="V50" s="4"/>
      <c r="W50" s="138"/>
      <c r="X50" s="138"/>
      <c r="Y50" s="138"/>
      <c r="Z50" s="138"/>
      <c r="AA50" s="138"/>
      <c r="AB50" s="138"/>
      <c r="AC50" s="138"/>
      <c r="AD50" s="138"/>
      <c r="AE50" s="138"/>
      <c r="AF50" s="138"/>
      <c r="AG50" s="138"/>
      <c r="AH50" s="138"/>
    </row>
    <row r="51" ht="15.75" customHeight="1">
      <c r="A51" s="4"/>
      <c r="B51" s="4"/>
      <c r="C51" s="4"/>
      <c r="D51" s="23"/>
      <c r="E51" s="23"/>
      <c r="F51" s="23"/>
      <c r="G51" s="4"/>
      <c r="H51" s="4"/>
      <c r="I51" s="4"/>
      <c r="J51" s="4"/>
      <c r="K51" s="4"/>
      <c r="L51" s="23"/>
      <c r="M51" s="4"/>
      <c r="N51" s="4"/>
      <c r="O51" s="23"/>
      <c r="P51" s="4"/>
      <c r="Q51" s="131"/>
      <c r="R51" s="131"/>
      <c r="S51" s="131"/>
      <c r="T51" s="4"/>
      <c r="U51" s="4"/>
      <c r="V51" s="4"/>
      <c r="W51" s="138"/>
      <c r="X51" s="138"/>
      <c r="Y51" s="138"/>
      <c r="Z51" s="138"/>
      <c r="AA51" s="138"/>
      <c r="AB51" s="138"/>
      <c r="AC51" s="138"/>
      <c r="AD51" s="138"/>
      <c r="AE51" s="138"/>
      <c r="AF51" s="138"/>
      <c r="AG51" s="138"/>
      <c r="AH51" s="138"/>
    </row>
    <row r="52" ht="15.75" customHeight="1">
      <c r="A52" s="4"/>
      <c r="B52" s="4"/>
      <c r="C52" s="4"/>
      <c r="D52" s="23"/>
      <c r="E52" s="23"/>
      <c r="F52" s="23"/>
      <c r="G52" s="4"/>
      <c r="H52" s="4"/>
      <c r="I52" s="4"/>
      <c r="J52" s="4"/>
      <c r="K52" s="4"/>
      <c r="L52" s="23"/>
      <c r="M52" s="4"/>
      <c r="N52" s="4"/>
      <c r="O52" s="23"/>
      <c r="P52" s="4"/>
      <c r="Q52" s="4"/>
      <c r="R52" s="4"/>
      <c r="S52" s="4"/>
      <c r="T52" s="4"/>
      <c r="U52" s="4"/>
      <c r="V52" s="4"/>
      <c r="W52" s="138"/>
      <c r="X52" s="138"/>
      <c r="Y52" s="138"/>
      <c r="Z52" s="138"/>
      <c r="AA52" s="138"/>
      <c r="AB52" s="138"/>
      <c r="AC52" s="138"/>
      <c r="AD52" s="138"/>
      <c r="AE52" s="138"/>
      <c r="AF52" s="138"/>
      <c r="AG52" s="138"/>
      <c r="AH52" s="138"/>
    </row>
    <row r="53" ht="15.75" customHeight="1">
      <c r="A53" s="4"/>
      <c r="B53" s="4"/>
      <c r="C53" s="4"/>
      <c r="D53" s="23"/>
      <c r="E53" s="23"/>
      <c r="F53" s="23"/>
      <c r="G53" s="4"/>
      <c r="H53" s="4"/>
      <c r="I53" s="4"/>
      <c r="J53" s="4"/>
      <c r="K53" s="4"/>
      <c r="L53" s="23"/>
      <c r="M53" s="4"/>
      <c r="N53" s="4"/>
      <c r="O53" s="23"/>
      <c r="P53" s="4"/>
      <c r="Q53" s="4"/>
      <c r="R53" s="4"/>
      <c r="S53" s="4"/>
      <c r="T53" s="4"/>
      <c r="U53" s="4"/>
      <c r="V53" s="4"/>
      <c r="W53" s="138"/>
      <c r="X53" s="138"/>
      <c r="Y53" s="138"/>
      <c r="Z53" s="138"/>
      <c r="AA53" s="138"/>
      <c r="AB53" s="138"/>
      <c r="AC53" s="138"/>
      <c r="AD53" s="138"/>
      <c r="AE53" s="138"/>
      <c r="AF53" s="138"/>
      <c r="AG53" s="138"/>
      <c r="AH53" s="138"/>
    </row>
    <row r="54" ht="15.75" customHeight="1">
      <c r="A54" s="4"/>
      <c r="B54" s="4"/>
      <c r="C54" s="4"/>
      <c r="D54" s="23"/>
      <c r="E54" s="23"/>
      <c r="F54" s="23"/>
      <c r="G54" s="4"/>
      <c r="H54" s="4"/>
      <c r="I54" s="4"/>
      <c r="J54" s="4"/>
      <c r="K54" s="4"/>
      <c r="L54" s="23"/>
      <c r="M54" s="4"/>
      <c r="N54" s="4"/>
      <c r="O54" s="23"/>
      <c r="P54" s="4"/>
      <c r="Q54" s="4"/>
      <c r="R54" s="4"/>
      <c r="S54" s="4"/>
      <c r="T54" s="4"/>
      <c r="U54" s="4"/>
      <c r="V54" s="4"/>
      <c r="W54" s="138"/>
      <c r="X54" s="138"/>
      <c r="Y54" s="138"/>
      <c r="Z54" s="138"/>
      <c r="AA54" s="138"/>
      <c r="AB54" s="138"/>
      <c r="AC54" s="138"/>
      <c r="AD54" s="138"/>
      <c r="AE54" s="138"/>
      <c r="AF54" s="138"/>
      <c r="AG54" s="138"/>
      <c r="AH54" s="138"/>
    </row>
    <row r="55" ht="15.75" customHeight="1">
      <c r="A55" s="4"/>
      <c r="B55" s="4"/>
      <c r="C55" s="4"/>
      <c r="D55" s="23"/>
      <c r="E55" s="23"/>
      <c r="F55" s="23"/>
      <c r="G55" s="4"/>
      <c r="H55" s="4"/>
      <c r="I55" s="4"/>
      <c r="J55" s="4"/>
      <c r="K55" s="4"/>
      <c r="L55" s="23"/>
      <c r="M55" s="4"/>
      <c r="N55" s="4"/>
      <c r="O55" s="23"/>
      <c r="P55" s="4"/>
      <c r="Q55" s="4"/>
      <c r="R55" s="4"/>
      <c r="S55" s="4"/>
      <c r="T55" s="4"/>
      <c r="U55" s="4"/>
      <c r="V55" s="4"/>
      <c r="W55" s="138"/>
      <c r="X55" s="138"/>
      <c r="Y55" s="138"/>
      <c r="Z55" s="138"/>
      <c r="AA55" s="138"/>
      <c r="AB55" s="138"/>
      <c r="AC55" s="138"/>
      <c r="AD55" s="138"/>
      <c r="AE55" s="138"/>
      <c r="AF55" s="138"/>
      <c r="AG55" s="138"/>
      <c r="AH55" s="138"/>
    </row>
    <row r="56" ht="15.75" customHeight="1">
      <c r="A56" s="4"/>
      <c r="B56" s="4"/>
      <c r="C56" s="4"/>
      <c r="D56" s="23"/>
      <c r="E56" s="23"/>
      <c r="F56" s="23"/>
      <c r="G56" s="4"/>
      <c r="H56" s="4"/>
      <c r="I56" s="4"/>
      <c r="J56" s="4"/>
      <c r="K56" s="4"/>
      <c r="L56" s="23"/>
      <c r="M56" s="4"/>
      <c r="N56" s="4"/>
      <c r="O56" s="23"/>
      <c r="P56" s="4"/>
      <c r="Q56" s="4"/>
      <c r="R56" s="4"/>
      <c r="S56" s="4"/>
      <c r="T56" s="4"/>
      <c r="U56" s="4"/>
      <c r="V56" s="4"/>
      <c r="W56" s="138"/>
      <c r="X56" s="138"/>
      <c r="Y56" s="138"/>
      <c r="Z56" s="138"/>
      <c r="AA56" s="138"/>
      <c r="AB56" s="138"/>
      <c r="AC56" s="138"/>
      <c r="AD56" s="138"/>
      <c r="AE56" s="138"/>
      <c r="AF56" s="138"/>
      <c r="AG56" s="138"/>
      <c r="AH56" s="138"/>
    </row>
    <row r="57" ht="15.75" customHeight="1">
      <c r="A57" s="4"/>
      <c r="B57" s="4"/>
      <c r="C57" s="4"/>
      <c r="D57" s="23"/>
      <c r="E57" s="23"/>
      <c r="F57" s="23"/>
      <c r="G57" s="4"/>
      <c r="H57" s="4"/>
      <c r="I57" s="4"/>
      <c r="J57" s="4"/>
      <c r="K57" s="4"/>
      <c r="L57" s="23"/>
      <c r="M57" s="4"/>
      <c r="N57" s="4"/>
      <c r="O57" s="23"/>
      <c r="P57" s="4"/>
      <c r="Q57" s="4"/>
      <c r="R57" s="4"/>
      <c r="S57" s="4"/>
      <c r="T57" s="4"/>
      <c r="U57" s="4"/>
      <c r="V57" s="4"/>
      <c r="W57" s="138"/>
      <c r="X57" s="138"/>
      <c r="Y57" s="138"/>
      <c r="Z57" s="138"/>
      <c r="AA57" s="138"/>
      <c r="AB57" s="138"/>
      <c r="AC57" s="138"/>
      <c r="AD57" s="138"/>
      <c r="AE57" s="138"/>
      <c r="AF57" s="138"/>
      <c r="AG57" s="138"/>
      <c r="AH57" s="138"/>
    </row>
    <row r="58" ht="15.75" customHeight="1">
      <c r="A58" s="4"/>
      <c r="B58" s="4"/>
      <c r="C58" s="4"/>
      <c r="D58" s="23"/>
      <c r="E58" s="23"/>
      <c r="F58" s="23"/>
      <c r="G58" s="4"/>
      <c r="H58" s="4"/>
      <c r="I58" s="4"/>
      <c r="J58" s="4"/>
      <c r="K58" s="4"/>
      <c r="L58" s="23"/>
      <c r="M58" s="4"/>
      <c r="N58" s="4"/>
      <c r="O58" s="23"/>
      <c r="P58" s="4"/>
      <c r="Q58" s="4"/>
      <c r="R58" s="4"/>
      <c r="S58" s="4"/>
      <c r="T58" s="4"/>
      <c r="U58" s="4"/>
      <c r="V58" s="4"/>
      <c r="W58" s="138"/>
      <c r="X58" s="138"/>
      <c r="Y58" s="138"/>
      <c r="Z58" s="138"/>
      <c r="AA58" s="138"/>
      <c r="AB58" s="138"/>
      <c r="AC58" s="138"/>
      <c r="AD58" s="138"/>
      <c r="AE58" s="138"/>
      <c r="AF58" s="138"/>
      <c r="AG58" s="138"/>
      <c r="AH58" s="138"/>
    </row>
    <row r="59" ht="15.75" customHeight="1">
      <c r="A59" s="4"/>
      <c r="B59" s="4"/>
      <c r="C59" s="4"/>
      <c r="D59" s="23"/>
      <c r="E59" s="23"/>
      <c r="F59" s="23"/>
      <c r="G59" s="4"/>
      <c r="H59" s="4"/>
      <c r="I59" s="4"/>
      <c r="J59" s="4"/>
      <c r="K59" s="4"/>
      <c r="L59" s="23"/>
      <c r="M59" s="4"/>
      <c r="N59" s="4"/>
      <c r="O59" s="23"/>
      <c r="P59" s="4"/>
      <c r="Q59" s="4"/>
      <c r="R59" s="4"/>
      <c r="S59" s="4"/>
      <c r="T59" s="4"/>
      <c r="U59" s="4"/>
      <c r="V59" s="4"/>
      <c r="W59" s="4"/>
      <c r="X59" s="4"/>
      <c r="Y59" s="4"/>
      <c r="Z59" s="4"/>
      <c r="AA59" s="4"/>
      <c r="AB59" s="4"/>
      <c r="AC59" s="4"/>
      <c r="AD59" s="4"/>
      <c r="AE59" s="4"/>
      <c r="AF59" s="4"/>
      <c r="AG59" s="4"/>
      <c r="AH59" s="4"/>
    </row>
    <row r="60" ht="15.75" customHeight="1">
      <c r="A60" s="4"/>
      <c r="B60" s="4"/>
      <c r="C60" s="4"/>
      <c r="D60" s="23"/>
      <c r="E60" s="23"/>
      <c r="F60" s="23"/>
      <c r="G60" s="4"/>
      <c r="H60" s="4"/>
      <c r="I60" s="4"/>
      <c r="J60" s="4"/>
      <c r="K60" s="4"/>
      <c r="L60" s="23"/>
      <c r="M60" s="4"/>
      <c r="N60" s="4"/>
      <c r="O60" s="23"/>
      <c r="P60" s="4"/>
      <c r="Q60" s="4"/>
      <c r="R60" s="4"/>
      <c r="S60" s="4"/>
      <c r="T60" s="4"/>
      <c r="U60" s="4"/>
      <c r="V60" s="4"/>
      <c r="W60" s="4"/>
      <c r="X60" s="4"/>
      <c r="Y60" s="4"/>
      <c r="Z60" s="4"/>
      <c r="AA60" s="4"/>
      <c r="AB60" s="4"/>
      <c r="AC60" s="4"/>
      <c r="AD60" s="4"/>
      <c r="AE60" s="4"/>
      <c r="AF60" s="4"/>
      <c r="AG60" s="4"/>
      <c r="AH60" s="4"/>
    </row>
    <row r="61" ht="15.75" customHeight="1">
      <c r="A61" s="4"/>
      <c r="B61" s="4"/>
      <c r="C61" s="4"/>
      <c r="D61" s="23"/>
      <c r="E61" s="23"/>
      <c r="F61" s="23"/>
      <c r="G61" s="4"/>
      <c r="H61" s="4"/>
      <c r="I61" s="4"/>
      <c r="J61" s="4"/>
      <c r="K61" s="4"/>
      <c r="L61" s="23"/>
      <c r="M61" s="4"/>
      <c r="N61" s="4"/>
      <c r="O61" s="23"/>
      <c r="P61" s="4"/>
      <c r="Q61" s="4"/>
      <c r="R61" s="4"/>
      <c r="S61" s="4"/>
      <c r="T61" s="4"/>
      <c r="U61" s="4"/>
      <c r="V61" s="4"/>
      <c r="W61" s="4"/>
      <c r="X61" s="4"/>
      <c r="Y61" s="4"/>
      <c r="Z61" s="4"/>
      <c r="AA61" s="4"/>
      <c r="AB61" s="4"/>
      <c r="AC61" s="4"/>
      <c r="AD61" s="4"/>
      <c r="AE61" s="4"/>
      <c r="AF61" s="4"/>
      <c r="AG61" s="4"/>
      <c r="AH61" s="4"/>
    </row>
    <row r="62" ht="15.75" customHeight="1">
      <c r="A62" s="4"/>
      <c r="B62" s="4"/>
      <c r="C62" s="4"/>
      <c r="D62" s="23"/>
      <c r="E62" s="23"/>
      <c r="F62" s="23"/>
      <c r="G62" s="4"/>
      <c r="H62" s="4"/>
      <c r="I62" s="4"/>
      <c r="J62" s="4"/>
      <c r="K62" s="4"/>
      <c r="L62" s="23"/>
      <c r="M62" s="4"/>
      <c r="N62" s="4"/>
      <c r="O62" s="23"/>
      <c r="P62" s="4"/>
      <c r="Q62" s="4"/>
      <c r="R62" s="4"/>
      <c r="S62" s="4"/>
      <c r="T62" s="4"/>
      <c r="U62" s="4"/>
      <c r="V62" s="4"/>
      <c r="W62" s="4"/>
      <c r="X62" s="4"/>
      <c r="Y62" s="4"/>
      <c r="Z62" s="4"/>
      <c r="AA62" s="4"/>
      <c r="AB62" s="4"/>
      <c r="AC62" s="4"/>
      <c r="AD62" s="4"/>
      <c r="AE62" s="4"/>
      <c r="AF62" s="4"/>
      <c r="AG62" s="4"/>
      <c r="AH62" s="4"/>
    </row>
    <row r="63" ht="15.75" customHeight="1">
      <c r="A63" s="4"/>
      <c r="B63" s="4"/>
      <c r="C63" s="4"/>
      <c r="D63" s="23"/>
      <c r="E63" s="23"/>
      <c r="F63" s="23"/>
      <c r="G63" s="4"/>
      <c r="H63" s="4"/>
      <c r="I63" s="4"/>
      <c r="J63" s="4"/>
      <c r="K63" s="4"/>
      <c r="L63" s="23"/>
      <c r="M63" s="4"/>
      <c r="N63" s="4"/>
      <c r="O63" s="23"/>
      <c r="P63" s="4"/>
      <c r="Q63" s="4"/>
      <c r="R63" s="4"/>
      <c r="S63" s="4"/>
      <c r="T63" s="4"/>
      <c r="U63" s="4"/>
      <c r="V63" s="4"/>
      <c r="W63" s="4"/>
      <c r="X63" s="4"/>
      <c r="Y63" s="4"/>
      <c r="Z63" s="4"/>
      <c r="AA63" s="4"/>
      <c r="AB63" s="4"/>
      <c r="AC63" s="4"/>
      <c r="AD63" s="4"/>
      <c r="AE63" s="4"/>
      <c r="AF63" s="4"/>
      <c r="AG63" s="4"/>
      <c r="AH63" s="4"/>
    </row>
    <row r="64" ht="15.75" customHeight="1">
      <c r="A64" s="4"/>
      <c r="B64" s="4"/>
      <c r="C64" s="4"/>
      <c r="D64" s="23"/>
      <c r="E64" s="23"/>
      <c r="F64" s="23"/>
      <c r="G64" s="4"/>
      <c r="H64" s="4"/>
      <c r="I64" s="4"/>
      <c r="J64" s="4"/>
      <c r="K64" s="4"/>
      <c r="L64" s="23"/>
      <c r="M64" s="4"/>
      <c r="N64" s="4"/>
      <c r="O64" s="23"/>
      <c r="P64" s="4"/>
      <c r="Q64" s="4"/>
      <c r="R64" s="4"/>
      <c r="S64" s="4"/>
      <c r="T64" s="4"/>
      <c r="U64" s="4"/>
      <c r="V64" s="4"/>
      <c r="W64" s="4"/>
      <c r="X64" s="4"/>
      <c r="Y64" s="4"/>
      <c r="Z64" s="4"/>
      <c r="AA64" s="4"/>
      <c r="AB64" s="4"/>
      <c r="AC64" s="4"/>
      <c r="AD64" s="4"/>
      <c r="AE64" s="4"/>
      <c r="AF64" s="4"/>
      <c r="AG64" s="4"/>
      <c r="AH64" s="4"/>
    </row>
    <row r="65" ht="15.75" customHeight="1">
      <c r="A65" s="4"/>
      <c r="B65" s="4"/>
      <c r="C65" s="4"/>
      <c r="D65" s="23"/>
      <c r="E65" s="23"/>
      <c r="F65" s="23"/>
      <c r="G65" s="4"/>
      <c r="H65" s="4"/>
      <c r="I65" s="4"/>
      <c r="J65" s="4"/>
      <c r="K65" s="4"/>
      <c r="L65" s="23"/>
      <c r="M65" s="4"/>
      <c r="N65" s="4"/>
      <c r="O65" s="23"/>
      <c r="P65" s="4"/>
      <c r="Q65" s="4"/>
      <c r="R65" s="4"/>
      <c r="S65" s="4"/>
      <c r="T65" s="4"/>
      <c r="U65" s="4"/>
      <c r="V65" s="4"/>
      <c r="W65" s="4"/>
      <c r="X65" s="4"/>
      <c r="Y65" s="4"/>
      <c r="Z65" s="4"/>
      <c r="AA65" s="4"/>
      <c r="AB65" s="4"/>
      <c r="AC65" s="4"/>
      <c r="AD65" s="4"/>
      <c r="AE65" s="4"/>
      <c r="AF65" s="4"/>
      <c r="AG65" s="4"/>
      <c r="AH65" s="4"/>
    </row>
    <row r="66" ht="15.75" customHeight="1">
      <c r="A66" s="4"/>
      <c r="B66" s="4"/>
      <c r="C66" s="4"/>
      <c r="D66" s="23"/>
      <c r="E66" s="23"/>
      <c r="F66" s="23"/>
      <c r="G66" s="4"/>
      <c r="H66" s="4"/>
      <c r="I66" s="4"/>
      <c r="J66" s="4"/>
      <c r="K66" s="4"/>
      <c r="L66" s="23"/>
      <c r="M66" s="4"/>
      <c r="N66" s="4"/>
      <c r="O66" s="23"/>
      <c r="P66" s="4"/>
      <c r="Q66" s="4"/>
      <c r="R66" s="4"/>
      <c r="S66" s="4"/>
      <c r="T66" s="4"/>
      <c r="U66" s="4"/>
      <c r="V66" s="4"/>
      <c r="W66" s="4"/>
      <c r="X66" s="4"/>
      <c r="Y66" s="4"/>
      <c r="Z66" s="4"/>
      <c r="AA66" s="4"/>
      <c r="AB66" s="4"/>
      <c r="AC66" s="4"/>
      <c r="AD66" s="4"/>
      <c r="AE66" s="4"/>
      <c r="AF66" s="4"/>
      <c r="AG66" s="4"/>
      <c r="AH66" s="4"/>
    </row>
    <row r="67" ht="15.75" customHeight="1">
      <c r="A67" s="4"/>
      <c r="B67" s="4"/>
      <c r="C67" s="4"/>
      <c r="D67" s="23"/>
      <c r="E67" s="23"/>
      <c r="F67" s="23"/>
      <c r="G67" s="4"/>
      <c r="H67" s="4"/>
      <c r="I67" s="4"/>
      <c r="J67" s="4"/>
      <c r="K67" s="4"/>
      <c r="L67" s="23"/>
      <c r="M67" s="4"/>
      <c r="N67" s="4"/>
      <c r="O67" s="23"/>
      <c r="P67" s="4"/>
      <c r="Q67" s="4"/>
      <c r="R67" s="4"/>
      <c r="S67" s="4"/>
      <c r="T67" s="4"/>
      <c r="U67" s="4"/>
      <c r="V67" s="4"/>
      <c r="W67" s="4"/>
      <c r="X67" s="4"/>
      <c r="Y67" s="4"/>
      <c r="Z67" s="4"/>
      <c r="AA67" s="4"/>
      <c r="AB67" s="4"/>
      <c r="AC67" s="4"/>
      <c r="AD67" s="4"/>
      <c r="AE67" s="4"/>
      <c r="AF67" s="4"/>
      <c r="AG67" s="4"/>
      <c r="AH67" s="4"/>
    </row>
    <row r="68" ht="15.75" customHeight="1">
      <c r="A68" s="4"/>
      <c r="B68" s="4"/>
      <c r="C68" s="4"/>
      <c r="D68" s="23"/>
      <c r="E68" s="23"/>
      <c r="F68" s="23"/>
      <c r="G68" s="4"/>
      <c r="H68" s="4"/>
      <c r="I68" s="4"/>
      <c r="J68" s="4"/>
      <c r="K68" s="4"/>
      <c r="L68" s="23"/>
      <c r="M68" s="4"/>
      <c r="N68" s="4"/>
      <c r="O68" s="23"/>
      <c r="P68" s="4"/>
      <c r="Q68" s="4"/>
      <c r="R68" s="4"/>
      <c r="S68" s="4"/>
      <c r="T68" s="4"/>
      <c r="U68" s="4"/>
      <c r="V68" s="4"/>
      <c r="W68" s="4"/>
      <c r="X68" s="4"/>
      <c r="Y68" s="4"/>
      <c r="Z68" s="4"/>
      <c r="AA68" s="4"/>
      <c r="AB68" s="4"/>
      <c r="AC68" s="4"/>
      <c r="AD68" s="4"/>
      <c r="AE68" s="4"/>
      <c r="AF68" s="4"/>
      <c r="AG68" s="4"/>
      <c r="AH68" s="4"/>
    </row>
    <row r="69" ht="15.75" customHeight="1">
      <c r="A69" s="4"/>
      <c r="B69" s="4"/>
      <c r="C69" s="4"/>
      <c r="D69" s="23"/>
      <c r="E69" s="23"/>
      <c r="F69" s="23"/>
      <c r="G69" s="4"/>
      <c r="H69" s="4"/>
      <c r="I69" s="4"/>
      <c r="J69" s="4"/>
      <c r="K69" s="4"/>
      <c r="L69" s="23"/>
      <c r="M69" s="4"/>
      <c r="N69" s="4"/>
      <c r="O69" s="23"/>
      <c r="P69" s="4"/>
      <c r="Q69" s="4"/>
      <c r="R69" s="4"/>
      <c r="S69" s="4"/>
      <c r="T69" s="4"/>
      <c r="U69" s="4"/>
      <c r="V69" s="4"/>
      <c r="W69" s="4"/>
      <c r="X69" s="4"/>
      <c r="Y69" s="4"/>
      <c r="Z69" s="4"/>
      <c r="AA69" s="4"/>
      <c r="AB69" s="4"/>
      <c r="AC69" s="4"/>
      <c r="AD69" s="4"/>
      <c r="AE69" s="4"/>
      <c r="AF69" s="4"/>
      <c r="AG69" s="4"/>
      <c r="AH69" s="4"/>
    </row>
    <row r="70" ht="15.75" customHeight="1">
      <c r="A70" s="4"/>
      <c r="B70" s="4"/>
      <c r="C70" s="4"/>
      <c r="D70" s="23"/>
      <c r="E70" s="23"/>
      <c r="F70" s="23"/>
      <c r="G70" s="4"/>
      <c r="H70" s="4"/>
      <c r="I70" s="4"/>
      <c r="J70" s="4"/>
      <c r="K70" s="4"/>
      <c r="L70" s="23"/>
      <c r="M70" s="4"/>
      <c r="N70" s="4"/>
      <c r="O70" s="23"/>
      <c r="P70" s="4"/>
      <c r="Q70" s="4"/>
      <c r="R70" s="4"/>
      <c r="S70" s="4"/>
      <c r="T70" s="4"/>
      <c r="U70" s="4"/>
      <c r="V70" s="4"/>
      <c r="W70" s="4"/>
      <c r="X70" s="4"/>
      <c r="Y70" s="4"/>
      <c r="Z70" s="4"/>
      <c r="AA70" s="4"/>
      <c r="AB70" s="4"/>
      <c r="AC70" s="4"/>
      <c r="AD70" s="4"/>
      <c r="AE70" s="4"/>
      <c r="AF70" s="4"/>
      <c r="AG70" s="4"/>
      <c r="AH70" s="4"/>
    </row>
    <row r="71" ht="15.75" customHeight="1">
      <c r="A71" s="4"/>
      <c r="B71" s="4"/>
      <c r="C71" s="4"/>
      <c r="D71" s="23"/>
      <c r="E71" s="23"/>
      <c r="F71" s="23"/>
      <c r="G71" s="4"/>
      <c r="H71" s="4"/>
      <c r="I71" s="4"/>
      <c r="J71" s="4"/>
      <c r="K71" s="4"/>
      <c r="L71" s="23"/>
      <c r="M71" s="4"/>
      <c r="N71" s="4"/>
      <c r="O71" s="23"/>
      <c r="P71" s="4"/>
      <c r="Q71" s="4"/>
      <c r="R71" s="4"/>
      <c r="S71" s="4"/>
      <c r="T71" s="4"/>
      <c r="U71" s="4"/>
      <c r="V71" s="4"/>
      <c r="W71" s="4"/>
      <c r="X71" s="4"/>
      <c r="Y71" s="4"/>
      <c r="Z71" s="4"/>
      <c r="AA71" s="4"/>
      <c r="AB71" s="4"/>
      <c r="AC71" s="4"/>
      <c r="AD71" s="4"/>
      <c r="AE71" s="4"/>
      <c r="AF71" s="4"/>
      <c r="AG71" s="4"/>
      <c r="AH71" s="4"/>
    </row>
    <row r="72" ht="15.75" customHeight="1">
      <c r="A72" s="4"/>
      <c r="B72" s="4"/>
      <c r="C72" s="4"/>
      <c r="D72" s="23"/>
      <c r="E72" s="23"/>
      <c r="F72" s="23"/>
      <c r="G72" s="4"/>
      <c r="H72" s="4"/>
      <c r="I72" s="4"/>
      <c r="J72" s="4"/>
      <c r="K72" s="4"/>
      <c r="L72" s="23"/>
      <c r="M72" s="4"/>
      <c r="N72" s="4"/>
      <c r="O72" s="23"/>
      <c r="P72" s="4"/>
      <c r="Q72" s="4"/>
      <c r="R72" s="4"/>
      <c r="S72" s="4"/>
      <c r="T72" s="4"/>
      <c r="U72" s="4"/>
      <c r="V72" s="4"/>
      <c r="W72" s="4"/>
      <c r="X72" s="4"/>
      <c r="Y72" s="4"/>
      <c r="Z72" s="4"/>
      <c r="AA72" s="4"/>
      <c r="AB72" s="4"/>
      <c r="AC72" s="4"/>
      <c r="AD72" s="4"/>
      <c r="AE72" s="4"/>
      <c r="AF72" s="4"/>
      <c r="AG72" s="4"/>
      <c r="AH72" s="4"/>
    </row>
    <row r="73" ht="15.75" customHeight="1">
      <c r="A73" s="4"/>
      <c r="B73" s="4"/>
      <c r="C73" s="4"/>
      <c r="D73" s="23"/>
      <c r="E73" s="23"/>
      <c r="F73" s="23"/>
      <c r="G73" s="4"/>
      <c r="H73" s="4"/>
      <c r="I73" s="4"/>
      <c r="J73" s="4"/>
      <c r="K73" s="4"/>
      <c r="L73" s="23"/>
      <c r="M73" s="4"/>
      <c r="N73" s="4"/>
      <c r="O73" s="23"/>
      <c r="P73" s="4"/>
      <c r="Q73" s="4"/>
      <c r="R73" s="4"/>
      <c r="S73" s="4"/>
      <c r="T73" s="4"/>
      <c r="U73" s="4"/>
      <c r="V73" s="4"/>
      <c r="W73" s="4"/>
      <c r="X73" s="4"/>
      <c r="Y73" s="4"/>
      <c r="Z73" s="4"/>
      <c r="AA73" s="4"/>
      <c r="AB73" s="4"/>
      <c r="AC73" s="4"/>
      <c r="AD73" s="4"/>
      <c r="AE73" s="4"/>
      <c r="AF73" s="4"/>
      <c r="AG73" s="4"/>
      <c r="AH73" s="4"/>
    </row>
    <row r="74" ht="15.75" customHeight="1">
      <c r="A74" s="4"/>
      <c r="B74" s="4"/>
      <c r="C74" s="4"/>
      <c r="D74" s="23"/>
      <c r="E74" s="23"/>
      <c r="F74" s="23"/>
      <c r="G74" s="4"/>
      <c r="H74" s="4"/>
      <c r="I74" s="4"/>
      <c r="J74" s="4"/>
      <c r="K74" s="4"/>
      <c r="L74" s="23"/>
      <c r="M74" s="4"/>
      <c r="N74" s="4"/>
      <c r="O74" s="23"/>
      <c r="P74" s="4"/>
      <c r="Q74" s="4"/>
      <c r="R74" s="4"/>
      <c r="S74" s="4"/>
      <c r="T74" s="4"/>
      <c r="U74" s="4"/>
      <c r="V74" s="4"/>
      <c r="W74" s="4"/>
      <c r="X74" s="4"/>
      <c r="Y74" s="4"/>
      <c r="Z74" s="4"/>
      <c r="AA74" s="4"/>
      <c r="AB74" s="4"/>
      <c r="AC74" s="4"/>
      <c r="AD74" s="4"/>
      <c r="AE74" s="4"/>
      <c r="AF74" s="4"/>
      <c r="AG74" s="4"/>
      <c r="AH74" s="4"/>
    </row>
    <row r="75" ht="15.75" customHeight="1">
      <c r="A75" s="4"/>
      <c r="B75" s="4"/>
      <c r="C75" s="4"/>
      <c r="D75" s="23"/>
      <c r="E75" s="23"/>
      <c r="F75" s="23"/>
      <c r="G75" s="4"/>
      <c r="H75" s="4"/>
      <c r="I75" s="4"/>
      <c r="J75" s="4"/>
      <c r="K75" s="4"/>
      <c r="L75" s="23"/>
      <c r="M75" s="4"/>
      <c r="N75" s="4"/>
      <c r="O75" s="23"/>
      <c r="P75" s="4"/>
      <c r="Q75" s="4"/>
      <c r="R75" s="4"/>
      <c r="S75" s="4"/>
      <c r="T75" s="4"/>
      <c r="U75" s="4"/>
      <c r="V75" s="4"/>
      <c r="W75" s="4"/>
      <c r="X75" s="4"/>
      <c r="Y75" s="4"/>
      <c r="Z75" s="4"/>
      <c r="AA75" s="4"/>
      <c r="AB75" s="4"/>
      <c r="AC75" s="4"/>
      <c r="AD75" s="4"/>
      <c r="AE75" s="4"/>
      <c r="AF75" s="4"/>
      <c r="AG75" s="4"/>
      <c r="AH75" s="4"/>
    </row>
    <row r="76" ht="15.75" customHeight="1">
      <c r="A76" s="4"/>
      <c r="B76" s="4"/>
      <c r="C76" s="4"/>
      <c r="D76" s="23"/>
      <c r="E76" s="23"/>
      <c r="F76" s="23"/>
      <c r="G76" s="4"/>
      <c r="H76" s="4"/>
      <c r="I76" s="4"/>
      <c r="J76" s="4"/>
      <c r="K76" s="4"/>
      <c r="L76" s="23"/>
      <c r="M76" s="4"/>
      <c r="N76" s="4"/>
      <c r="O76" s="23"/>
      <c r="P76" s="4"/>
      <c r="Q76" s="4"/>
      <c r="R76" s="4"/>
      <c r="S76" s="4"/>
      <c r="T76" s="4"/>
      <c r="U76" s="4"/>
      <c r="V76" s="4"/>
      <c r="W76" s="4"/>
      <c r="X76" s="4"/>
      <c r="Y76" s="4"/>
      <c r="Z76" s="4"/>
      <c r="AA76" s="4"/>
      <c r="AB76" s="4"/>
      <c r="AC76" s="4"/>
      <c r="AD76" s="4"/>
      <c r="AE76" s="4"/>
      <c r="AF76" s="4"/>
      <c r="AG76" s="4"/>
      <c r="AH76" s="4"/>
    </row>
    <row r="77" ht="15.75" customHeight="1">
      <c r="A77" s="4"/>
      <c r="B77" s="4"/>
      <c r="C77" s="4"/>
      <c r="D77" s="23"/>
      <c r="E77" s="23"/>
      <c r="F77" s="23"/>
      <c r="G77" s="4"/>
      <c r="H77" s="4"/>
      <c r="I77" s="4"/>
      <c r="J77" s="4"/>
      <c r="K77" s="4"/>
      <c r="L77" s="23"/>
      <c r="M77" s="4"/>
      <c r="N77" s="4"/>
      <c r="O77" s="23"/>
      <c r="P77" s="4"/>
      <c r="Q77" s="4"/>
      <c r="R77" s="4"/>
      <c r="S77" s="4"/>
      <c r="T77" s="4"/>
      <c r="U77" s="4"/>
      <c r="V77" s="4"/>
      <c r="W77" s="4"/>
      <c r="X77" s="4"/>
      <c r="Y77" s="4"/>
      <c r="Z77" s="4"/>
      <c r="AA77" s="4"/>
      <c r="AB77" s="4"/>
      <c r="AC77" s="4"/>
      <c r="AD77" s="4"/>
      <c r="AE77" s="4"/>
      <c r="AF77" s="4"/>
      <c r="AG77" s="4"/>
      <c r="AH77" s="4"/>
    </row>
    <row r="78" ht="15.75" customHeight="1">
      <c r="A78" s="4"/>
      <c r="B78" s="4"/>
      <c r="C78" s="4"/>
      <c r="D78" s="23"/>
      <c r="E78" s="23"/>
      <c r="F78" s="23"/>
      <c r="G78" s="4"/>
      <c r="H78" s="4"/>
      <c r="I78" s="4"/>
      <c r="J78" s="4"/>
      <c r="K78" s="4"/>
      <c r="L78" s="23"/>
      <c r="M78" s="4"/>
      <c r="N78" s="4"/>
      <c r="O78" s="23"/>
      <c r="P78" s="4"/>
      <c r="Q78" s="4"/>
      <c r="R78" s="4"/>
      <c r="S78" s="4"/>
      <c r="T78" s="4"/>
      <c r="U78" s="4"/>
      <c r="V78" s="4"/>
      <c r="W78" s="4"/>
      <c r="X78" s="4"/>
      <c r="Y78" s="4"/>
      <c r="Z78" s="4"/>
      <c r="AA78" s="4"/>
      <c r="AB78" s="4"/>
      <c r="AC78" s="4"/>
      <c r="AD78" s="4"/>
      <c r="AE78" s="4"/>
      <c r="AF78" s="4"/>
      <c r="AG78" s="4"/>
      <c r="AH78" s="4"/>
    </row>
    <row r="79" ht="15.75" customHeight="1">
      <c r="A79" s="4"/>
      <c r="B79" s="4"/>
      <c r="C79" s="4"/>
      <c r="D79" s="23"/>
      <c r="E79" s="23"/>
      <c r="F79" s="23"/>
      <c r="G79" s="4"/>
      <c r="H79" s="4"/>
      <c r="I79" s="4"/>
      <c r="J79" s="4"/>
      <c r="K79" s="4"/>
      <c r="L79" s="23"/>
      <c r="M79" s="4"/>
      <c r="N79" s="4"/>
      <c r="O79" s="23"/>
      <c r="P79" s="4"/>
      <c r="Q79" s="4"/>
      <c r="R79" s="4"/>
      <c r="S79" s="4"/>
      <c r="T79" s="4"/>
      <c r="U79" s="4"/>
      <c r="V79" s="4"/>
      <c r="W79" s="4"/>
      <c r="X79" s="4"/>
      <c r="Y79" s="4"/>
      <c r="Z79" s="4"/>
      <c r="AA79" s="4"/>
      <c r="AB79" s="4"/>
      <c r="AC79" s="4"/>
      <c r="AD79" s="4"/>
      <c r="AE79" s="4"/>
      <c r="AF79" s="4"/>
      <c r="AG79" s="4"/>
      <c r="AH79" s="4"/>
    </row>
    <row r="80" ht="15.75" customHeight="1">
      <c r="A80" s="4"/>
      <c r="B80" s="4"/>
      <c r="C80" s="4"/>
      <c r="D80" s="23"/>
      <c r="E80" s="23"/>
      <c r="F80" s="23"/>
      <c r="G80" s="4"/>
      <c r="H80" s="4"/>
      <c r="I80" s="4"/>
      <c r="J80" s="4"/>
      <c r="K80" s="4"/>
      <c r="L80" s="23"/>
      <c r="M80" s="4"/>
      <c r="N80" s="4"/>
      <c r="O80" s="23"/>
      <c r="P80" s="4"/>
      <c r="Q80" s="4"/>
      <c r="R80" s="4"/>
      <c r="S80" s="4"/>
      <c r="T80" s="4"/>
      <c r="U80" s="4"/>
      <c r="V80" s="4"/>
      <c r="W80" s="4"/>
      <c r="X80" s="4"/>
      <c r="Y80" s="4"/>
      <c r="Z80" s="4"/>
      <c r="AA80" s="4"/>
      <c r="AB80" s="4"/>
      <c r="AC80" s="4"/>
      <c r="AD80" s="4"/>
      <c r="AE80" s="4"/>
      <c r="AF80" s="4"/>
      <c r="AG80" s="4"/>
      <c r="AH80" s="4"/>
    </row>
    <row r="81" ht="15.75" customHeight="1">
      <c r="A81" s="4"/>
      <c r="B81" s="4"/>
      <c r="C81" s="4"/>
      <c r="D81" s="23"/>
      <c r="E81" s="23"/>
      <c r="F81" s="23"/>
      <c r="G81" s="4"/>
      <c r="H81" s="4"/>
      <c r="I81" s="4"/>
      <c r="J81" s="4"/>
      <c r="K81" s="4"/>
      <c r="L81" s="23"/>
      <c r="M81" s="4"/>
      <c r="N81" s="4"/>
      <c r="O81" s="23"/>
      <c r="P81" s="4"/>
      <c r="Q81" s="4"/>
      <c r="R81" s="4"/>
      <c r="S81" s="4"/>
      <c r="T81" s="4"/>
      <c r="U81" s="4"/>
      <c r="V81" s="4"/>
      <c r="W81" s="4"/>
      <c r="X81" s="4"/>
      <c r="Y81" s="4"/>
      <c r="Z81" s="4"/>
      <c r="AA81" s="4"/>
      <c r="AB81" s="4"/>
      <c r="AC81" s="4"/>
      <c r="AD81" s="4"/>
      <c r="AE81" s="4"/>
      <c r="AF81" s="4"/>
      <c r="AG81" s="4"/>
      <c r="AH81" s="4"/>
    </row>
    <row r="82" ht="15.75" customHeight="1">
      <c r="A82" s="4"/>
      <c r="B82" s="4"/>
      <c r="C82" s="4"/>
      <c r="D82" s="23"/>
      <c r="E82" s="23"/>
      <c r="F82" s="23"/>
      <c r="G82" s="4"/>
      <c r="H82" s="4"/>
      <c r="I82" s="4"/>
      <c r="J82" s="4"/>
      <c r="K82" s="4"/>
      <c r="L82" s="23"/>
      <c r="M82" s="4"/>
      <c r="N82" s="4"/>
      <c r="O82" s="23"/>
      <c r="P82" s="4"/>
      <c r="Q82" s="4"/>
      <c r="R82" s="4"/>
      <c r="S82" s="4"/>
      <c r="T82" s="4"/>
      <c r="U82" s="4"/>
      <c r="V82" s="4"/>
      <c r="W82" s="4"/>
      <c r="X82" s="4"/>
      <c r="Y82" s="4"/>
      <c r="Z82" s="4"/>
      <c r="AA82" s="4"/>
      <c r="AB82" s="4"/>
      <c r="AC82" s="4"/>
      <c r="AD82" s="4"/>
      <c r="AE82" s="4"/>
      <c r="AF82" s="4"/>
      <c r="AG82" s="4"/>
      <c r="AH82" s="4"/>
    </row>
    <row r="83" ht="15.75" customHeight="1">
      <c r="A83" s="4"/>
      <c r="B83" s="4"/>
      <c r="C83" s="4"/>
      <c r="D83" s="23"/>
      <c r="E83" s="23"/>
      <c r="F83" s="23"/>
      <c r="G83" s="4"/>
      <c r="H83" s="4"/>
      <c r="I83" s="4"/>
      <c r="J83" s="4"/>
      <c r="K83" s="4"/>
      <c r="L83" s="23"/>
      <c r="M83" s="4"/>
      <c r="N83" s="4"/>
      <c r="O83" s="23"/>
      <c r="P83" s="4"/>
      <c r="Q83" s="4"/>
      <c r="R83" s="4"/>
      <c r="S83" s="4"/>
      <c r="T83" s="4"/>
      <c r="U83" s="4"/>
      <c r="V83" s="4"/>
      <c r="W83" s="4"/>
      <c r="X83" s="4"/>
      <c r="Y83" s="4"/>
      <c r="Z83" s="4"/>
      <c r="AA83" s="4"/>
      <c r="AB83" s="4"/>
      <c r="AC83" s="4"/>
      <c r="AD83" s="4"/>
      <c r="AE83" s="4"/>
      <c r="AF83" s="4"/>
      <c r="AG83" s="4"/>
      <c r="AH83" s="4"/>
    </row>
    <row r="84" ht="15.75" customHeight="1">
      <c r="A84" s="4"/>
      <c r="B84" s="4"/>
      <c r="C84" s="4"/>
      <c r="D84" s="23"/>
      <c r="E84" s="23"/>
      <c r="F84" s="23"/>
      <c r="G84" s="4"/>
      <c r="H84" s="4"/>
      <c r="I84" s="4"/>
      <c r="J84" s="4"/>
      <c r="K84" s="4"/>
      <c r="L84" s="23"/>
      <c r="M84" s="4"/>
      <c r="N84" s="4"/>
      <c r="O84" s="23"/>
      <c r="P84" s="4"/>
      <c r="Q84" s="4"/>
      <c r="R84" s="4"/>
      <c r="S84" s="4"/>
      <c r="T84" s="4"/>
      <c r="U84" s="4"/>
      <c r="V84" s="4"/>
      <c r="W84" s="4"/>
      <c r="X84" s="4"/>
      <c r="Y84" s="4"/>
      <c r="Z84" s="4"/>
      <c r="AA84" s="4"/>
      <c r="AB84" s="4"/>
      <c r="AC84" s="4"/>
      <c r="AD84" s="4"/>
      <c r="AE84" s="4"/>
      <c r="AF84" s="4"/>
      <c r="AG84" s="4"/>
      <c r="AH84" s="4"/>
    </row>
    <row r="85" ht="15.75" customHeight="1">
      <c r="A85" s="4"/>
      <c r="B85" s="4"/>
      <c r="C85" s="4"/>
      <c r="D85" s="23"/>
      <c r="E85" s="23"/>
      <c r="F85" s="23"/>
      <c r="G85" s="4"/>
      <c r="H85" s="4"/>
      <c r="I85" s="4"/>
      <c r="J85" s="4"/>
      <c r="K85" s="4"/>
      <c r="L85" s="23"/>
      <c r="M85" s="4"/>
      <c r="N85" s="4"/>
      <c r="O85" s="23"/>
      <c r="P85" s="4"/>
      <c r="Q85" s="4"/>
      <c r="R85" s="4"/>
      <c r="S85" s="4"/>
      <c r="T85" s="4"/>
      <c r="U85" s="4"/>
      <c r="V85" s="4"/>
      <c r="W85" s="4"/>
      <c r="X85" s="4"/>
      <c r="Y85" s="4"/>
      <c r="Z85" s="4"/>
      <c r="AA85" s="4"/>
      <c r="AB85" s="4"/>
      <c r="AC85" s="4"/>
      <c r="AD85" s="4"/>
      <c r="AE85" s="4"/>
      <c r="AF85" s="4"/>
      <c r="AG85" s="4"/>
      <c r="AH85" s="4"/>
    </row>
    <row r="86" ht="15.75" customHeight="1">
      <c r="A86" s="4"/>
      <c r="B86" s="4"/>
      <c r="C86" s="4"/>
      <c r="D86" s="23"/>
      <c r="E86" s="23"/>
      <c r="F86" s="23"/>
      <c r="G86" s="4"/>
      <c r="H86" s="4"/>
      <c r="I86" s="4"/>
      <c r="J86" s="4"/>
      <c r="K86" s="4"/>
      <c r="L86" s="23"/>
      <c r="M86" s="4"/>
      <c r="N86" s="4"/>
      <c r="O86" s="23"/>
      <c r="P86" s="4"/>
      <c r="Q86" s="4"/>
      <c r="R86" s="4"/>
      <c r="S86" s="4"/>
      <c r="T86" s="4"/>
      <c r="U86" s="4"/>
      <c r="V86" s="4"/>
      <c r="W86" s="4"/>
      <c r="X86" s="4"/>
      <c r="Y86" s="4"/>
      <c r="Z86" s="4"/>
      <c r="AA86" s="4"/>
      <c r="AB86" s="4"/>
      <c r="AC86" s="4"/>
      <c r="AD86" s="4"/>
      <c r="AE86" s="4"/>
      <c r="AF86" s="4"/>
      <c r="AG86" s="4"/>
      <c r="AH86" s="4"/>
    </row>
    <row r="87" ht="15.75" customHeight="1">
      <c r="A87" s="4"/>
      <c r="B87" s="4"/>
      <c r="C87" s="4"/>
      <c r="D87" s="23"/>
      <c r="E87" s="23"/>
      <c r="F87" s="23"/>
      <c r="G87" s="4"/>
      <c r="H87" s="4"/>
      <c r="I87" s="4"/>
      <c r="J87" s="4"/>
      <c r="K87" s="4"/>
      <c r="L87" s="23"/>
      <c r="M87" s="4"/>
      <c r="N87" s="4"/>
      <c r="O87" s="23"/>
      <c r="P87" s="4"/>
      <c r="Q87" s="4"/>
      <c r="R87" s="4"/>
      <c r="S87" s="4"/>
      <c r="T87" s="4"/>
      <c r="U87" s="4"/>
      <c r="V87" s="4"/>
      <c r="W87" s="4"/>
      <c r="X87" s="4"/>
      <c r="Y87" s="4"/>
      <c r="Z87" s="4"/>
      <c r="AA87" s="4"/>
      <c r="AB87" s="4"/>
      <c r="AC87" s="4"/>
      <c r="AD87" s="4"/>
      <c r="AE87" s="4"/>
      <c r="AF87" s="4"/>
      <c r="AG87" s="4"/>
      <c r="AH87" s="4"/>
    </row>
    <row r="88" ht="15.75" customHeight="1">
      <c r="A88" s="4"/>
      <c r="B88" s="4"/>
      <c r="C88" s="4"/>
      <c r="D88" s="23"/>
      <c r="E88" s="23"/>
      <c r="F88" s="23"/>
      <c r="G88" s="4"/>
      <c r="H88" s="4"/>
      <c r="I88" s="4"/>
      <c r="J88" s="4"/>
      <c r="K88" s="4"/>
      <c r="L88" s="23"/>
      <c r="M88" s="4"/>
      <c r="N88" s="4"/>
      <c r="O88" s="23"/>
      <c r="P88" s="4"/>
      <c r="Q88" s="4"/>
      <c r="R88" s="4"/>
      <c r="S88" s="4"/>
      <c r="T88" s="4"/>
      <c r="U88" s="4"/>
      <c r="V88" s="4"/>
      <c r="W88" s="4"/>
      <c r="X88" s="4"/>
      <c r="Y88" s="4"/>
      <c r="Z88" s="4"/>
      <c r="AA88" s="4"/>
      <c r="AB88" s="4"/>
      <c r="AC88" s="4"/>
      <c r="AD88" s="4"/>
      <c r="AE88" s="4"/>
      <c r="AF88" s="4"/>
      <c r="AG88" s="4"/>
      <c r="AH88" s="4"/>
    </row>
    <row r="89" ht="15.75" customHeight="1">
      <c r="A89" s="4"/>
      <c r="B89" s="4"/>
      <c r="C89" s="4"/>
      <c r="D89" s="23"/>
      <c r="E89" s="23"/>
      <c r="F89" s="23"/>
      <c r="G89" s="4"/>
      <c r="H89" s="4"/>
      <c r="I89" s="4"/>
      <c r="J89" s="4"/>
      <c r="K89" s="4"/>
      <c r="L89" s="23"/>
      <c r="M89" s="4"/>
      <c r="N89" s="4"/>
      <c r="O89" s="23"/>
      <c r="P89" s="4"/>
      <c r="Q89" s="4"/>
      <c r="R89" s="4"/>
      <c r="S89" s="4"/>
      <c r="T89" s="4"/>
      <c r="U89" s="4"/>
      <c r="V89" s="4"/>
      <c r="W89" s="4"/>
      <c r="X89" s="4"/>
      <c r="Y89" s="4"/>
      <c r="Z89" s="4"/>
      <c r="AA89" s="4"/>
      <c r="AB89" s="4"/>
      <c r="AC89" s="4"/>
      <c r="AD89" s="4"/>
      <c r="AE89" s="4"/>
      <c r="AF89" s="4"/>
      <c r="AG89" s="4"/>
      <c r="AH89" s="4"/>
    </row>
    <row r="90" ht="15.75" customHeight="1">
      <c r="A90" s="4"/>
      <c r="B90" s="4"/>
      <c r="C90" s="4"/>
      <c r="D90" s="23"/>
      <c r="E90" s="23"/>
      <c r="F90" s="23"/>
      <c r="G90" s="4"/>
      <c r="H90" s="4"/>
      <c r="I90" s="4"/>
      <c r="J90" s="4"/>
      <c r="K90" s="4"/>
      <c r="L90" s="23"/>
      <c r="M90" s="4"/>
      <c r="N90" s="4"/>
      <c r="O90" s="23"/>
      <c r="P90" s="4"/>
      <c r="Q90" s="4"/>
      <c r="R90" s="4"/>
      <c r="S90" s="4"/>
      <c r="T90" s="4"/>
      <c r="U90" s="4"/>
      <c r="V90" s="4"/>
      <c r="W90" s="4"/>
      <c r="X90" s="4"/>
      <c r="Y90" s="4"/>
      <c r="Z90" s="4"/>
      <c r="AA90" s="4"/>
      <c r="AB90" s="4"/>
      <c r="AC90" s="4"/>
      <c r="AD90" s="4"/>
      <c r="AE90" s="4"/>
      <c r="AF90" s="4"/>
      <c r="AG90" s="4"/>
      <c r="AH90" s="4"/>
    </row>
    <row r="91" ht="15.75" customHeight="1">
      <c r="A91" s="4"/>
      <c r="B91" s="4"/>
      <c r="C91" s="4"/>
      <c r="D91" s="23"/>
      <c r="E91" s="23"/>
      <c r="F91" s="23"/>
      <c r="G91" s="4"/>
      <c r="H91" s="4"/>
      <c r="I91" s="4"/>
      <c r="J91" s="4"/>
      <c r="K91" s="4"/>
      <c r="L91" s="23"/>
      <c r="M91" s="4"/>
      <c r="N91" s="4"/>
      <c r="O91" s="23"/>
      <c r="P91" s="4"/>
      <c r="Q91" s="4"/>
      <c r="R91" s="4"/>
      <c r="S91" s="4"/>
      <c r="T91" s="4"/>
      <c r="U91" s="4"/>
      <c r="V91" s="4"/>
      <c r="W91" s="4"/>
      <c r="X91" s="4"/>
      <c r="Y91" s="4"/>
      <c r="Z91" s="4"/>
      <c r="AA91" s="4"/>
      <c r="AB91" s="4"/>
      <c r="AC91" s="4"/>
      <c r="AD91" s="4"/>
      <c r="AE91" s="4"/>
      <c r="AF91" s="4"/>
      <c r="AG91" s="4"/>
      <c r="AH91" s="4"/>
    </row>
    <row r="92" ht="15.75" customHeight="1">
      <c r="A92" s="4"/>
      <c r="B92" s="4"/>
      <c r="C92" s="4"/>
      <c r="D92" s="23"/>
      <c r="E92" s="23"/>
      <c r="F92" s="23"/>
      <c r="G92" s="4"/>
      <c r="H92" s="4"/>
      <c r="I92" s="4"/>
      <c r="J92" s="4"/>
      <c r="K92" s="4"/>
      <c r="L92" s="23"/>
      <c r="M92" s="4"/>
      <c r="N92" s="4"/>
      <c r="O92" s="23"/>
      <c r="P92" s="4"/>
      <c r="Q92" s="4"/>
      <c r="R92" s="4"/>
      <c r="S92" s="4"/>
      <c r="T92" s="4"/>
      <c r="U92" s="4"/>
      <c r="V92" s="4"/>
      <c r="W92" s="4"/>
      <c r="X92" s="4"/>
      <c r="Y92" s="4"/>
      <c r="Z92" s="4"/>
      <c r="AA92" s="4"/>
      <c r="AB92" s="4"/>
      <c r="AC92" s="4"/>
      <c r="AD92" s="4"/>
      <c r="AE92" s="4"/>
      <c r="AF92" s="4"/>
      <c r="AG92" s="4"/>
      <c r="AH92" s="4"/>
    </row>
    <row r="93" ht="15.75" customHeight="1">
      <c r="A93" s="4"/>
      <c r="B93" s="4"/>
      <c r="C93" s="4"/>
      <c r="D93" s="23"/>
      <c r="E93" s="23"/>
      <c r="F93" s="23"/>
      <c r="G93" s="4"/>
      <c r="H93" s="4"/>
      <c r="I93" s="4"/>
      <c r="J93" s="4"/>
      <c r="K93" s="4"/>
      <c r="L93" s="23"/>
      <c r="M93" s="4"/>
      <c r="N93" s="4"/>
      <c r="O93" s="23"/>
      <c r="P93" s="4"/>
      <c r="Q93" s="4"/>
      <c r="R93" s="4"/>
      <c r="S93" s="4"/>
      <c r="T93" s="4"/>
      <c r="U93" s="4"/>
      <c r="V93" s="4"/>
      <c r="W93" s="4"/>
      <c r="X93" s="4"/>
      <c r="Y93" s="4"/>
      <c r="Z93" s="4"/>
      <c r="AA93" s="4"/>
      <c r="AB93" s="4"/>
      <c r="AC93" s="4"/>
      <c r="AD93" s="4"/>
      <c r="AE93" s="4"/>
      <c r="AF93" s="4"/>
      <c r="AG93" s="4"/>
      <c r="AH93" s="4"/>
    </row>
    <row r="94" ht="15.75" customHeight="1">
      <c r="A94" s="4"/>
      <c r="B94" s="4"/>
      <c r="C94" s="4"/>
      <c r="D94" s="23"/>
      <c r="E94" s="23"/>
      <c r="F94" s="23"/>
      <c r="G94" s="4"/>
      <c r="H94" s="4"/>
      <c r="I94" s="4"/>
      <c r="J94" s="4"/>
      <c r="K94" s="4"/>
      <c r="L94" s="23"/>
      <c r="M94" s="4"/>
      <c r="N94" s="4"/>
      <c r="O94" s="23"/>
      <c r="P94" s="4"/>
      <c r="Q94" s="4"/>
      <c r="R94" s="4"/>
      <c r="S94" s="4"/>
      <c r="T94" s="4"/>
      <c r="U94" s="4"/>
      <c r="V94" s="4"/>
      <c r="W94" s="4"/>
      <c r="X94" s="4"/>
      <c r="Y94" s="4"/>
      <c r="Z94" s="4"/>
      <c r="AA94" s="4"/>
      <c r="AB94" s="4"/>
      <c r="AC94" s="4"/>
      <c r="AD94" s="4"/>
      <c r="AE94" s="4"/>
      <c r="AF94" s="4"/>
      <c r="AG94" s="4"/>
      <c r="AH94" s="4"/>
    </row>
    <row r="95" ht="15.75" customHeight="1">
      <c r="A95" s="4"/>
      <c r="B95" s="4"/>
      <c r="C95" s="4"/>
      <c r="D95" s="23"/>
      <c r="E95" s="23"/>
      <c r="F95" s="23"/>
      <c r="G95" s="4"/>
      <c r="H95" s="4"/>
      <c r="I95" s="4"/>
      <c r="J95" s="4"/>
      <c r="K95" s="4"/>
      <c r="L95" s="23"/>
      <c r="M95" s="4"/>
      <c r="N95" s="4"/>
      <c r="O95" s="23"/>
      <c r="P95" s="4"/>
      <c r="Q95" s="4"/>
      <c r="R95" s="4"/>
      <c r="S95" s="4"/>
      <c r="T95" s="4"/>
      <c r="U95" s="4"/>
      <c r="V95" s="4"/>
      <c r="W95" s="4"/>
      <c r="X95" s="4"/>
      <c r="Y95" s="4"/>
      <c r="Z95" s="4"/>
      <c r="AA95" s="4"/>
      <c r="AB95" s="4"/>
      <c r="AC95" s="4"/>
      <c r="AD95" s="4"/>
      <c r="AE95" s="4"/>
      <c r="AF95" s="4"/>
      <c r="AG95" s="4"/>
      <c r="AH95" s="4"/>
    </row>
    <row r="96" ht="15.75" customHeight="1">
      <c r="A96" s="4"/>
      <c r="B96" s="4"/>
      <c r="C96" s="4"/>
      <c r="D96" s="23"/>
      <c r="E96" s="23"/>
      <c r="F96" s="23"/>
      <c r="G96" s="4"/>
      <c r="H96" s="4"/>
      <c r="I96" s="4"/>
      <c r="J96" s="4"/>
      <c r="K96" s="4"/>
      <c r="L96" s="23"/>
      <c r="M96" s="4"/>
      <c r="N96" s="4"/>
      <c r="O96" s="23"/>
      <c r="P96" s="4"/>
      <c r="Q96" s="4"/>
      <c r="R96" s="4"/>
      <c r="S96" s="4"/>
      <c r="T96" s="4"/>
      <c r="U96" s="4"/>
      <c r="V96" s="4"/>
      <c r="W96" s="4"/>
      <c r="X96" s="4"/>
      <c r="Y96" s="4"/>
      <c r="Z96" s="4"/>
      <c r="AA96" s="4"/>
      <c r="AB96" s="4"/>
      <c r="AC96" s="4"/>
      <c r="AD96" s="4"/>
      <c r="AE96" s="4"/>
      <c r="AF96" s="4"/>
      <c r="AG96" s="4"/>
      <c r="AH96" s="4"/>
    </row>
    <row r="97" ht="15.75" customHeight="1">
      <c r="A97" s="4"/>
      <c r="B97" s="4"/>
      <c r="C97" s="4"/>
      <c r="D97" s="23"/>
      <c r="E97" s="23"/>
      <c r="F97" s="23"/>
      <c r="G97" s="4"/>
      <c r="H97" s="4"/>
      <c r="I97" s="4"/>
      <c r="J97" s="4"/>
      <c r="K97" s="4"/>
      <c r="L97" s="23"/>
      <c r="M97" s="4"/>
      <c r="N97" s="4"/>
      <c r="O97" s="23"/>
      <c r="P97" s="4"/>
      <c r="Q97" s="4"/>
      <c r="R97" s="4"/>
      <c r="S97" s="4"/>
      <c r="T97" s="4"/>
      <c r="U97" s="4"/>
      <c r="V97" s="4"/>
      <c r="W97" s="4"/>
      <c r="X97" s="4"/>
      <c r="Y97" s="4"/>
      <c r="Z97" s="4"/>
      <c r="AA97" s="4"/>
      <c r="AB97" s="4"/>
      <c r="AC97" s="4"/>
      <c r="AD97" s="4"/>
      <c r="AE97" s="4"/>
      <c r="AF97" s="4"/>
      <c r="AG97" s="4"/>
      <c r="AH97" s="4"/>
    </row>
    <row r="98" ht="15.75" customHeight="1">
      <c r="A98" s="4"/>
      <c r="B98" s="4"/>
      <c r="C98" s="4"/>
      <c r="D98" s="23"/>
      <c r="E98" s="23"/>
      <c r="F98" s="23"/>
      <c r="G98" s="4"/>
      <c r="H98" s="4"/>
      <c r="I98" s="4"/>
      <c r="J98" s="4"/>
      <c r="K98" s="4"/>
      <c r="L98" s="23"/>
      <c r="M98" s="4"/>
      <c r="N98" s="4"/>
      <c r="O98" s="23"/>
      <c r="P98" s="4"/>
      <c r="Q98" s="4"/>
      <c r="R98" s="4"/>
      <c r="S98" s="4"/>
      <c r="T98" s="4"/>
      <c r="U98" s="4"/>
      <c r="V98" s="4"/>
      <c r="W98" s="4"/>
      <c r="X98" s="4"/>
      <c r="Y98" s="4"/>
      <c r="Z98" s="4"/>
      <c r="AA98" s="4"/>
      <c r="AB98" s="4"/>
      <c r="AC98" s="4"/>
      <c r="AD98" s="4"/>
      <c r="AE98" s="4"/>
      <c r="AF98" s="4"/>
      <c r="AG98" s="4"/>
      <c r="AH98" s="4"/>
    </row>
    <row r="99" ht="15.75" customHeight="1">
      <c r="A99" s="4"/>
      <c r="B99" s="4"/>
      <c r="C99" s="4"/>
      <c r="D99" s="23"/>
      <c r="E99" s="23"/>
      <c r="F99" s="23"/>
      <c r="G99" s="4"/>
      <c r="H99" s="4"/>
      <c r="I99" s="4"/>
      <c r="J99" s="4"/>
      <c r="K99" s="4"/>
      <c r="L99" s="23"/>
      <c r="M99" s="4"/>
      <c r="N99" s="4"/>
      <c r="O99" s="23"/>
      <c r="P99" s="4"/>
      <c r="Q99" s="4"/>
      <c r="R99" s="4"/>
      <c r="S99" s="4"/>
      <c r="T99" s="4"/>
      <c r="U99" s="4"/>
      <c r="V99" s="4"/>
      <c r="W99" s="4"/>
      <c r="X99" s="4"/>
      <c r="Y99" s="4"/>
      <c r="Z99" s="4"/>
      <c r="AA99" s="4"/>
      <c r="AB99" s="4"/>
      <c r="AC99" s="4"/>
      <c r="AD99" s="4"/>
      <c r="AE99" s="4"/>
      <c r="AF99" s="4"/>
      <c r="AG99" s="4"/>
      <c r="AH99" s="4"/>
    </row>
    <row r="100" ht="15.75" customHeight="1">
      <c r="A100" s="4"/>
      <c r="B100" s="4"/>
      <c r="C100" s="4"/>
      <c r="D100" s="23"/>
      <c r="E100" s="23"/>
      <c r="F100" s="23"/>
      <c r="G100" s="4"/>
      <c r="H100" s="4"/>
      <c r="I100" s="4"/>
      <c r="J100" s="4"/>
      <c r="K100" s="4"/>
      <c r="L100" s="23"/>
      <c r="M100" s="4"/>
      <c r="N100" s="4"/>
      <c r="O100" s="23"/>
      <c r="P100" s="4"/>
      <c r="Q100" s="4"/>
      <c r="R100" s="4"/>
      <c r="S100" s="4"/>
      <c r="T100" s="4"/>
      <c r="U100" s="4"/>
      <c r="V100" s="4"/>
      <c r="W100" s="4"/>
      <c r="X100" s="4"/>
      <c r="Y100" s="4"/>
      <c r="Z100" s="4"/>
      <c r="AA100" s="4"/>
      <c r="AB100" s="4"/>
      <c r="AC100" s="4"/>
      <c r="AD100" s="4"/>
      <c r="AE100" s="4"/>
      <c r="AF100" s="4"/>
      <c r="AG100" s="4"/>
      <c r="AH100" s="4"/>
    </row>
    <row r="101" ht="15.75" customHeight="1">
      <c r="A101" s="4"/>
      <c r="B101" s="4"/>
      <c r="C101" s="4"/>
      <c r="D101" s="23"/>
      <c r="E101" s="23"/>
      <c r="F101" s="23"/>
      <c r="G101" s="4"/>
      <c r="H101" s="4"/>
      <c r="I101" s="4"/>
      <c r="J101" s="4"/>
      <c r="K101" s="4"/>
      <c r="L101" s="23"/>
      <c r="M101" s="4"/>
      <c r="N101" s="4"/>
      <c r="O101" s="23"/>
      <c r="P101" s="4"/>
      <c r="Q101" s="4"/>
      <c r="R101" s="4"/>
      <c r="S101" s="4"/>
      <c r="T101" s="4"/>
      <c r="U101" s="4"/>
      <c r="V101" s="4"/>
      <c r="W101" s="4"/>
      <c r="X101" s="4"/>
      <c r="Y101" s="4"/>
      <c r="Z101" s="4"/>
      <c r="AA101" s="4"/>
      <c r="AB101" s="4"/>
      <c r="AC101" s="4"/>
      <c r="AD101" s="4"/>
      <c r="AE101" s="4"/>
      <c r="AF101" s="4"/>
      <c r="AG101" s="4"/>
      <c r="AH101" s="4"/>
    </row>
    <row r="102" ht="15.75" customHeight="1">
      <c r="A102" s="4"/>
      <c r="B102" s="4"/>
      <c r="C102" s="4"/>
      <c r="D102" s="23"/>
      <c r="E102" s="23"/>
      <c r="F102" s="23"/>
      <c r="G102" s="4"/>
      <c r="H102" s="4"/>
      <c r="I102" s="4"/>
      <c r="J102" s="4"/>
      <c r="K102" s="4"/>
      <c r="L102" s="23"/>
      <c r="M102" s="4"/>
      <c r="N102" s="4"/>
      <c r="O102" s="23"/>
      <c r="P102" s="4"/>
      <c r="Q102" s="4"/>
      <c r="R102" s="4"/>
      <c r="S102" s="4"/>
      <c r="T102" s="4"/>
      <c r="U102" s="4"/>
      <c r="V102" s="4"/>
      <c r="W102" s="4"/>
      <c r="X102" s="4"/>
      <c r="Y102" s="4"/>
      <c r="Z102" s="4"/>
      <c r="AA102" s="4"/>
      <c r="AB102" s="4"/>
      <c r="AC102" s="4"/>
      <c r="AD102" s="4"/>
      <c r="AE102" s="4"/>
      <c r="AF102" s="4"/>
      <c r="AG102" s="4"/>
      <c r="AH102" s="4"/>
    </row>
    <row r="103" ht="15.75" customHeight="1">
      <c r="A103" s="4"/>
      <c r="B103" s="4"/>
      <c r="C103" s="4"/>
      <c r="D103" s="23"/>
      <c r="E103" s="23"/>
      <c r="F103" s="23"/>
      <c r="G103" s="4"/>
      <c r="H103" s="4"/>
      <c r="I103" s="4"/>
      <c r="J103" s="4"/>
      <c r="K103" s="4"/>
      <c r="L103" s="23"/>
      <c r="M103" s="4"/>
      <c r="N103" s="4"/>
      <c r="O103" s="23"/>
      <c r="P103" s="4"/>
      <c r="Q103" s="4"/>
      <c r="R103" s="4"/>
      <c r="S103" s="4"/>
      <c r="T103" s="4"/>
      <c r="U103" s="4"/>
      <c r="V103" s="4"/>
      <c r="W103" s="4"/>
      <c r="X103" s="4"/>
      <c r="Y103" s="4"/>
      <c r="Z103" s="4"/>
      <c r="AA103" s="4"/>
      <c r="AB103" s="4"/>
      <c r="AC103" s="4"/>
      <c r="AD103" s="4"/>
      <c r="AE103" s="4"/>
      <c r="AF103" s="4"/>
      <c r="AG103" s="4"/>
      <c r="AH103" s="4"/>
    </row>
    <row r="104" ht="15.75" customHeight="1">
      <c r="A104" s="4"/>
      <c r="B104" s="4"/>
      <c r="C104" s="4"/>
      <c r="D104" s="23"/>
      <c r="E104" s="23"/>
      <c r="F104" s="23"/>
      <c r="G104" s="4"/>
      <c r="H104" s="4"/>
      <c r="I104" s="4"/>
      <c r="J104" s="4"/>
      <c r="K104" s="4"/>
      <c r="L104" s="23"/>
      <c r="M104" s="4"/>
      <c r="N104" s="4"/>
      <c r="O104" s="23"/>
      <c r="P104" s="4"/>
      <c r="Q104" s="4"/>
      <c r="R104" s="4"/>
      <c r="S104" s="4"/>
      <c r="T104" s="4"/>
      <c r="U104" s="4"/>
      <c r="V104" s="4"/>
      <c r="W104" s="4"/>
      <c r="X104" s="4"/>
      <c r="Y104" s="4"/>
      <c r="Z104" s="4"/>
      <c r="AA104" s="4"/>
      <c r="AB104" s="4"/>
      <c r="AC104" s="4"/>
      <c r="AD104" s="4"/>
      <c r="AE104" s="4"/>
      <c r="AF104" s="4"/>
      <c r="AG104" s="4"/>
      <c r="AH104" s="4"/>
    </row>
    <row r="105" ht="15.75" customHeight="1">
      <c r="A105" s="4"/>
      <c r="B105" s="4"/>
      <c r="C105" s="4"/>
      <c r="D105" s="23"/>
      <c r="E105" s="23"/>
      <c r="F105" s="23"/>
      <c r="G105" s="4"/>
      <c r="H105" s="4"/>
      <c r="I105" s="4"/>
      <c r="J105" s="4"/>
      <c r="K105" s="4"/>
      <c r="L105" s="23"/>
      <c r="M105" s="4"/>
      <c r="N105" s="4"/>
      <c r="O105" s="23"/>
      <c r="P105" s="4"/>
      <c r="Q105" s="4"/>
      <c r="R105" s="4"/>
      <c r="S105" s="4"/>
      <c r="T105" s="4"/>
      <c r="U105" s="4"/>
      <c r="V105" s="4"/>
      <c r="W105" s="4"/>
      <c r="X105" s="4"/>
      <c r="Y105" s="4"/>
      <c r="Z105" s="4"/>
      <c r="AA105" s="4"/>
      <c r="AB105" s="4"/>
      <c r="AC105" s="4"/>
      <c r="AD105" s="4"/>
      <c r="AE105" s="4"/>
      <c r="AF105" s="4"/>
      <c r="AG105" s="4"/>
      <c r="AH105" s="4"/>
    </row>
    <row r="106" ht="15.75" customHeight="1">
      <c r="A106" s="4"/>
      <c r="B106" s="4"/>
      <c r="C106" s="4"/>
      <c r="D106" s="23"/>
      <c r="E106" s="23"/>
      <c r="F106" s="23"/>
      <c r="G106" s="4"/>
      <c r="H106" s="4"/>
      <c r="I106" s="4"/>
      <c r="J106" s="4"/>
      <c r="K106" s="4"/>
      <c r="L106" s="23"/>
      <c r="M106" s="4"/>
      <c r="N106" s="4"/>
      <c r="O106" s="23"/>
      <c r="P106" s="4"/>
      <c r="Q106" s="4"/>
      <c r="R106" s="4"/>
      <c r="S106" s="4"/>
      <c r="T106" s="4"/>
      <c r="U106" s="4"/>
      <c r="V106" s="4"/>
      <c r="W106" s="4"/>
      <c r="X106" s="4"/>
      <c r="Y106" s="4"/>
      <c r="Z106" s="4"/>
      <c r="AA106" s="4"/>
      <c r="AB106" s="4"/>
      <c r="AC106" s="4"/>
      <c r="AD106" s="4"/>
      <c r="AE106" s="4"/>
      <c r="AF106" s="4"/>
      <c r="AG106" s="4"/>
      <c r="AH106" s="4"/>
    </row>
    <row r="107" ht="15.75" customHeight="1">
      <c r="A107" s="4"/>
      <c r="B107" s="4"/>
      <c r="C107" s="4"/>
      <c r="D107" s="23"/>
      <c r="E107" s="23"/>
      <c r="F107" s="23"/>
      <c r="G107" s="4"/>
      <c r="H107" s="4"/>
      <c r="I107" s="4"/>
      <c r="J107" s="4"/>
      <c r="K107" s="4"/>
      <c r="L107" s="23"/>
      <c r="M107" s="4"/>
      <c r="N107" s="4"/>
      <c r="O107" s="23"/>
      <c r="P107" s="4"/>
      <c r="Q107" s="4"/>
      <c r="R107" s="4"/>
      <c r="S107" s="4"/>
      <c r="T107" s="4"/>
      <c r="U107" s="4"/>
      <c r="V107" s="4"/>
      <c r="W107" s="4"/>
      <c r="X107" s="4"/>
      <c r="Y107" s="4"/>
      <c r="Z107" s="4"/>
      <c r="AA107" s="4"/>
      <c r="AB107" s="4"/>
      <c r="AC107" s="4"/>
      <c r="AD107" s="4"/>
      <c r="AE107" s="4"/>
      <c r="AF107" s="4"/>
      <c r="AG107" s="4"/>
      <c r="AH107" s="4"/>
    </row>
    <row r="108" ht="15.75" customHeight="1">
      <c r="A108" s="4"/>
      <c r="B108" s="4"/>
      <c r="C108" s="4"/>
      <c r="D108" s="23"/>
      <c r="E108" s="23"/>
      <c r="F108" s="23"/>
      <c r="G108" s="4"/>
      <c r="H108" s="4"/>
      <c r="I108" s="4"/>
      <c r="J108" s="4"/>
      <c r="K108" s="4"/>
      <c r="L108" s="23"/>
      <c r="M108" s="4"/>
      <c r="N108" s="4"/>
      <c r="O108" s="23"/>
      <c r="P108" s="4"/>
      <c r="Q108" s="4"/>
      <c r="R108" s="4"/>
      <c r="S108" s="4"/>
      <c r="T108" s="4"/>
      <c r="U108" s="4"/>
      <c r="V108" s="4"/>
      <c r="W108" s="4"/>
      <c r="X108" s="4"/>
      <c r="Y108" s="4"/>
      <c r="Z108" s="4"/>
      <c r="AA108" s="4"/>
      <c r="AB108" s="4"/>
      <c r="AC108" s="4"/>
      <c r="AD108" s="4"/>
      <c r="AE108" s="4"/>
      <c r="AF108" s="4"/>
      <c r="AG108" s="4"/>
      <c r="AH108" s="4"/>
    </row>
    <row r="109" ht="15.75" customHeight="1">
      <c r="A109" s="4"/>
      <c r="B109" s="4"/>
      <c r="C109" s="4"/>
      <c r="D109" s="23"/>
      <c r="E109" s="23"/>
      <c r="F109" s="23"/>
      <c r="G109" s="4"/>
      <c r="H109" s="4"/>
      <c r="I109" s="4"/>
      <c r="J109" s="4"/>
      <c r="K109" s="4"/>
      <c r="L109" s="23"/>
      <c r="M109" s="4"/>
      <c r="N109" s="4"/>
      <c r="O109" s="23"/>
      <c r="P109" s="4"/>
      <c r="Q109" s="4"/>
      <c r="R109" s="4"/>
      <c r="S109" s="4"/>
      <c r="T109" s="4"/>
      <c r="U109" s="4"/>
      <c r="V109" s="4"/>
      <c r="W109" s="4"/>
      <c r="X109" s="4"/>
      <c r="Y109" s="4"/>
      <c r="Z109" s="4"/>
      <c r="AA109" s="4"/>
      <c r="AB109" s="4"/>
      <c r="AC109" s="4"/>
      <c r="AD109" s="4"/>
      <c r="AE109" s="4"/>
      <c r="AF109" s="4"/>
      <c r="AG109" s="4"/>
      <c r="AH109" s="4"/>
    </row>
    <row r="110" ht="15.75" customHeight="1">
      <c r="A110" s="4"/>
      <c r="B110" s="4"/>
      <c r="C110" s="4"/>
      <c r="D110" s="23"/>
      <c r="E110" s="23"/>
      <c r="F110" s="23"/>
      <c r="G110" s="4"/>
      <c r="H110" s="4"/>
      <c r="I110" s="4"/>
      <c r="J110" s="4"/>
      <c r="K110" s="4"/>
      <c r="L110" s="23"/>
      <c r="M110" s="4"/>
      <c r="N110" s="4"/>
      <c r="O110" s="23"/>
      <c r="P110" s="4"/>
      <c r="Q110" s="4"/>
      <c r="R110" s="4"/>
      <c r="S110" s="4"/>
      <c r="T110" s="4"/>
      <c r="U110" s="4"/>
      <c r="V110" s="4"/>
      <c r="W110" s="4"/>
      <c r="X110" s="4"/>
      <c r="Y110" s="4"/>
      <c r="Z110" s="4"/>
      <c r="AA110" s="4"/>
      <c r="AB110" s="4"/>
      <c r="AC110" s="4"/>
      <c r="AD110" s="4"/>
      <c r="AE110" s="4"/>
      <c r="AF110" s="4"/>
      <c r="AG110" s="4"/>
      <c r="AH110" s="4"/>
    </row>
    <row r="111" ht="15.75" customHeight="1">
      <c r="A111" s="4"/>
      <c r="B111" s="4"/>
      <c r="C111" s="4"/>
      <c r="D111" s="23"/>
      <c r="E111" s="23"/>
      <c r="F111" s="23"/>
      <c r="G111" s="4"/>
      <c r="H111" s="4"/>
      <c r="I111" s="4"/>
      <c r="J111" s="4"/>
      <c r="K111" s="4"/>
      <c r="L111" s="23"/>
      <c r="M111" s="4"/>
      <c r="N111" s="4"/>
      <c r="O111" s="23"/>
      <c r="P111" s="4"/>
      <c r="Q111" s="4"/>
      <c r="R111" s="4"/>
      <c r="S111" s="4"/>
      <c r="T111" s="4"/>
      <c r="U111" s="4"/>
      <c r="V111" s="4"/>
      <c r="W111" s="4"/>
      <c r="X111" s="4"/>
      <c r="Y111" s="4"/>
      <c r="Z111" s="4"/>
      <c r="AA111" s="4"/>
      <c r="AB111" s="4"/>
      <c r="AC111" s="4"/>
      <c r="AD111" s="4"/>
      <c r="AE111" s="4"/>
      <c r="AF111" s="4"/>
      <c r="AG111" s="4"/>
      <c r="AH111" s="4"/>
    </row>
    <row r="112" ht="15.75" customHeight="1">
      <c r="A112" s="4"/>
      <c r="B112" s="4"/>
      <c r="C112" s="4"/>
      <c r="D112" s="23"/>
      <c r="E112" s="23"/>
      <c r="F112" s="23"/>
      <c r="G112" s="4"/>
      <c r="H112" s="4"/>
      <c r="I112" s="4"/>
      <c r="J112" s="4"/>
      <c r="K112" s="4"/>
      <c r="L112" s="23"/>
      <c r="M112" s="4"/>
      <c r="N112" s="4"/>
      <c r="O112" s="23"/>
      <c r="P112" s="4"/>
      <c r="Q112" s="4"/>
      <c r="R112" s="4"/>
      <c r="S112" s="4"/>
      <c r="T112" s="4"/>
      <c r="U112" s="4"/>
      <c r="V112" s="4"/>
      <c r="W112" s="4"/>
      <c r="X112" s="4"/>
      <c r="Y112" s="4"/>
      <c r="Z112" s="4"/>
      <c r="AA112" s="4"/>
      <c r="AB112" s="4"/>
      <c r="AC112" s="4"/>
      <c r="AD112" s="4"/>
      <c r="AE112" s="4"/>
      <c r="AF112" s="4"/>
      <c r="AG112" s="4"/>
      <c r="AH112" s="4"/>
    </row>
    <row r="113" ht="15.75" customHeight="1">
      <c r="A113" s="4"/>
      <c r="B113" s="4"/>
      <c r="C113" s="4"/>
      <c r="D113" s="23"/>
      <c r="E113" s="23"/>
      <c r="F113" s="23"/>
      <c r="G113" s="4"/>
      <c r="H113" s="4"/>
      <c r="I113" s="4"/>
      <c r="J113" s="4"/>
      <c r="K113" s="4"/>
      <c r="L113" s="23"/>
      <c r="M113" s="4"/>
      <c r="N113" s="4"/>
      <c r="O113" s="23"/>
      <c r="P113" s="4"/>
      <c r="Q113" s="4"/>
      <c r="R113" s="4"/>
      <c r="S113" s="4"/>
      <c r="T113" s="4"/>
      <c r="U113" s="4"/>
      <c r="V113" s="4"/>
      <c r="W113" s="4"/>
      <c r="X113" s="4"/>
      <c r="Y113" s="4"/>
      <c r="Z113" s="4"/>
      <c r="AA113" s="4"/>
      <c r="AB113" s="4"/>
      <c r="AC113" s="4"/>
      <c r="AD113" s="4"/>
      <c r="AE113" s="4"/>
      <c r="AF113" s="4"/>
      <c r="AG113" s="4"/>
      <c r="AH113" s="4"/>
    </row>
    <row r="114" ht="15.75" customHeight="1">
      <c r="A114" s="4"/>
      <c r="B114" s="4"/>
      <c r="C114" s="4"/>
      <c r="D114" s="23"/>
      <c r="E114" s="23"/>
      <c r="F114" s="23"/>
      <c r="G114" s="4"/>
      <c r="H114" s="4"/>
      <c r="I114" s="4"/>
      <c r="J114" s="4"/>
      <c r="K114" s="4"/>
      <c r="L114" s="23"/>
      <c r="M114" s="4"/>
      <c r="N114" s="4"/>
      <c r="O114" s="23"/>
      <c r="P114" s="4"/>
      <c r="Q114" s="4"/>
      <c r="R114" s="4"/>
      <c r="S114" s="4"/>
      <c r="T114" s="4"/>
      <c r="U114" s="4"/>
      <c r="V114" s="4"/>
      <c r="W114" s="4"/>
      <c r="X114" s="4"/>
      <c r="Y114" s="4"/>
      <c r="Z114" s="4"/>
      <c r="AA114" s="4"/>
      <c r="AB114" s="4"/>
      <c r="AC114" s="4"/>
      <c r="AD114" s="4"/>
      <c r="AE114" s="4"/>
      <c r="AF114" s="4"/>
      <c r="AG114" s="4"/>
      <c r="AH114" s="4"/>
    </row>
    <row r="115" ht="15.75" customHeight="1">
      <c r="A115" s="4"/>
      <c r="B115" s="4"/>
      <c r="C115" s="4"/>
      <c r="D115" s="23"/>
      <c r="E115" s="23"/>
      <c r="F115" s="23"/>
      <c r="G115" s="4"/>
      <c r="H115" s="4"/>
      <c r="I115" s="4"/>
      <c r="J115" s="4"/>
      <c r="K115" s="4"/>
      <c r="L115" s="23"/>
      <c r="M115" s="4"/>
      <c r="N115" s="4"/>
      <c r="O115" s="23"/>
      <c r="P115" s="4"/>
      <c r="Q115" s="4"/>
      <c r="R115" s="4"/>
      <c r="S115" s="4"/>
      <c r="T115" s="4"/>
      <c r="U115" s="4"/>
      <c r="V115" s="4"/>
      <c r="W115" s="4"/>
      <c r="X115" s="4"/>
      <c r="Y115" s="4"/>
      <c r="Z115" s="4"/>
      <c r="AA115" s="4"/>
      <c r="AB115" s="4"/>
      <c r="AC115" s="4"/>
      <c r="AD115" s="4"/>
      <c r="AE115" s="4"/>
      <c r="AF115" s="4"/>
      <c r="AG115" s="4"/>
      <c r="AH115" s="4"/>
    </row>
    <row r="116" ht="15.75" customHeight="1">
      <c r="A116" s="4"/>
      <c r="B116" s="4"/>
      <c r="C116" s="4"/>
      <c r="D116" s="23"/>
      <c r="E116" s="23"/>
      <c r="F116" s="23"/>
      <c r="G116" s="4"/>
      <c r="H116" s="4"/>
      <c r="I116" s="4"/>
      <c r="J116" s="4"/>
      <c r="K116" s="4"/>
      <c r="L116" s="23"/>
      <c r="M116" s="4"/>
      <c r="N116" s="4"/>
      <c r="O116" s="23"/>
      <c r="P116" s="4"/>
      <c r="Q116" s="4"/>
      <c r="R116" s="4"/>
      <c r="S116" s="4"/>
      <c r="T116" s="4"/>
      <c r="U116" s="4"/>
      <c r="V116" s="4"/>
      <c r="W116" s="4"/>
      <c r="X116" s="4"/>
      <c r="Y116" s="4"/>
      <c r="Z116" s="4"/>
      <c r="AA116" s="4"/>
      <c r="AB116" s="4"/>
      <c r="AC116" s="4"/>
      <c r="AD116" s="4"/>
      <c r="AE116" s="4"/>
      <c r="AF116" s="4"/>
      <c r="AG116" s="4"/>
      <c r="AH116" s="4"/>
    </row>
    <row r="117" ht="15.75" customHeight="1">
      <c r="A117" s="4"/>
      <c r="B117" s="4"/>
      <c r="C117" s="4"/>
      <c r="D117" s="23"/>
      <c r="E117" s="23"/>
      <c r="F117" s="23"/>
      <c r="G117" s="4"/>
      <c r="H117" s="4"/>
      <c r="I117" s="4"/>
      <c r="J117" s="4"/>
      <c r="K117" s="4"/>
      <c r="L117" s="23"/>
      <c r="M117" s="4"/>
      <c r="N117" s="4"/>
      <c r="O117" s="23"/>
      <c r="P117" s="4"/>
      <c r="Q117" s="4"/>
      <c r="R117" s="4"/>
      <c r="S117" s="4"/>
      <c r="T117" s="4"/>
      <c r="U117" s="4"/>
      <c r="V117" s="4"/>
      <c r="W117" s="4"/>
      <c r="X117" s="4"/>
      <c r="Y117" s="4"/>
      <c r="Z117" s="4"/>
      <c r="AA117" s="4"/>
      <c r="AB117" s="4"/>
      <c r="AC117" s="4"/>
      <c r="AD117" s="4"/>
      <c r="AE117" s="4"/>
      <c r="AF117" s="4"/>
      <c r="AG117" s="4"/>
      <c r="AH117" s="4"/>
    </row>
    <row r="118" ht="15.75" customHeight="1">
      <c r="A118" s="4"/>
      <c r="B118" s="4"/>
      <c r="C118" s="4"/>
      <c r="D118" s="23"/>
      <c r="E118" s="23"/>
      <c r="F118" s="23"/>
      <c r="G118" s="4"/>
      <c r="H118" s="4"/>
      <c r="I118" s="4"/>
      <c r="J118" s="4"/>
      <c r="K118" s="4"/>
      <c r="L118" s="23"/>
      <c r="M118" s="4"/>
      <c r="N118" s="4"/>
      <c r="O118" s="23"/>
      <c r="P118" s="4"/>
      <c r="Q118" s="4"/>
      <c r="R118" s="4"/>
      <c r="S118" s="4"/>
      <c r="T118" s="4"/>
      <c r="U118" s="4"/>
      <c r="V118" s="4"/>
      <c r="W118" s="4"/>
      <c r="X118" s="4"/>
      <c r="Y118" s="4"/>
      <c r="Z118" s="4"/>
      <c r="AA118" s="4"/>
      <c r="AB118" s="4"/>
      <c r="AC118" s="4"/>
      <c r="AD118" s="4"/>
      <c r="AE118" s="4"/>
      <c r="AF118" s="4"/>
      <c r="AG118" s="4"/>
      <c r="AH118" s="4"/>
    </row>
    <row r="119" ht="15.75" customHeight="1">
      <c r="A119" s="4"/>
      <c r="B119" s="4"/>
      <c r="C119" s="4"/>
      <c r="D119" s="23"/>
      <c r="E119" s="23"/>
      <c r="F119" s="23"/>
      <c r="G119" s="4"/>
      <c r="H119" s="4"/>
      <c r="I119" s="4"/>
      <c r="J119" s="4"/>
      <c r="K119" s="4"/>
      <c r="L119" s="23"/>
      <c r="M119" s="4"/>
      <c r="N119" s="4"/>
      <c r="O119" s="23"/>
      <c r="P119" s="4"/>
      <c r="Q119" s="4"/>
      <c r="R119" s="4"/>
      <c r="S119" s="4"/>
      <c r="T119" s="4"/>
      <c r="U119" s="4"/>
      <c r="V119" s="4"/>
      <c r="W119" s="4"/>
      <c r="X119" s="4"/>
      <c r="Y119" s="4"/>
      <c r="Z119" s="4"/>
      <c r="AA119" s="4"/>
      <c r="AB119" s="4"/>
      <c r="AC119" s="4"/>
      <c r="AD119" s="4"/>
      <c r="AE119" s="4"/>
      <c r="AF119" s="4"/>
      <c r="AG119" s="4"/>
      <c r="AH119" s="4"/>
    </row>
    <row r="120" ht="15.75" customHeight="1">
      <c r="A120" s="4"/>
      <c r="B120" s="4"/>
      <c r="C120" s="4"/>
      <c r="D120" s="23"/>
      <c r="E120" s="23"/>
      <c r="F120" s="23"/>
      <c r="G120" s="4"/>
      <c r="H120" s="4"/>
      <c r="I120" s="4"/>
      <c r="J120" s="4"/>
      <c r="K120" s="4"/>
      <c r="L120" s="23"/>
      <c r="M120" s="4"/>
      <c r="N120" s="4"/>
      <c r="O120" s="23"/>
      <c r="P120" s="4"/>
      <c r="Q120" s="4"/>
      <c r="R120" s="4"/>
      <c r="S120" s="4"/>
      <c r="T120" s="4"/>
      <c r="U120" s="4"/>
      <c r="V120" s="4"/>
      <c r="W120" s="4"/>
      <c r="X120" s="4"/>
      <c r="Y120" s="4"/>
      <c r="Z120" s="4"/>
      <c r="AA120" s="4"/>
      <c r="AB120" s="4"/>
      <c r="AC120" s="4"/>
      <c r="AD120" s="4"/>
      <c r="AE120" s="4"/>
      <c r="AF120" s="4"/>
      <c r="AG120" s="4"/>
      <c r="AH120" s="4"/>
    </row>
    <row r="121" ht="15.75" customHeight="1">
      <c r="A121" s="4"/>
      <c r="B121" s="4"/>
      <c r="C121" s="4"/>
      <c r="D121" s="23"/>
      <c r="E121" s="23"/>
      <c r="F121" s="23"/>
      <c r="G121" s="4"/>
      <c r="H121" s="4"/>
      <c r="I121" s="4"/>
      <c r="J121" s="4"/>
      <c r="K121" s="4"/>
      <c r="L121" s="23"/>
      <c r="M121" s="4"/>
      <c r="N121" s="4"/>
      <c r="O121" s="23"/>
      <c r="P121" s="4"/>
      <c r="Q121" s="4"/>
      <c r="R121" s="4"/>
      <c r="S121" s="4"/>
      <c r="T121" s="4"/>
      <c r="U121" s="4"/>
      <c r="V121" s="4"/>
      <c r="W121" s="4"/>
      <c r="X121" s="4"/>
      <c r="Y121" s="4"/>
      <c r="Z121" s="4"/>
      <c r="AA121" s="4"/>
      <c r="AB121" s="4"/>
      <c r="AC121" s="4"/>
      <c r="AD121" s="4"/>
      <c r="AE121" s="4"/>
      <c r="AF121" s="4"/>
      <c r="AG121" s="4"/>
      <c r="AH121" s="4"/>
    </row>
    <row r="122" ht="15.75" customHeight="1">
      <c r="A122" s="4"/>
      <c r="B122" s="4"/>
      <c r="C122" s="4"/>
      <c r="D122" s="23"/>
      <c r="E122" s="23"/>
      <c r="F122" s="23"/>
      <c r="G122" s="4"/>
      <c r="H122" s="4"/>
      <c r="I122" s="4"/>
      <c r="J122" s="4"/>
      <c r="K122" s="4"/>
      <c r="L122" s="23"/>
      <c r="M122" s="4"/>
      <c r="N122" s="4"/>
      <c r="O122" s="23"/>
      <c r="P122" s="4"/>
      <c r="Q122" s="4"/>
      <c r="R122" s="4"/>
      <c r="S122" s="4"/>
      <c r="T122" s="4"/>
      <c r="U122" s="4"/>
      <c r="V122" s="4"/>
      <c r="W122" s="4"/>
      <c r="X122" s="4"/>
      <c r="Y122" s="4"/>
      <c r="Z122" s="4"/>
      <c r="AA122" s="4"/>
      <c r="AB122" s="4"/>
      <c r="AC122" s="4"/>
      <c r="AD122" s="4"/>
      <c r="AE122" s="4"/>
      <c r="AF122" s="4"/>
      <c r="AG122" s="4"/>
      <c r="AH122" s="4"/>
    </row>
    <row r="123" ht="15.75" customHeight="1">
      <c r="A123" s="4"/>
      <c r="B123" s="4"/>
      <c r="C123" s="4"/>
      <c r="D123" s="23"/>
      <c r="E123" s="23"/>
      <c r="F123" s="23"/>
      <c r="G123" s="4"/>
      <c r="H123" s="4"/>
      <c r="I123" s="4"/>
      <c r="J123" s="4"/>
      <c r="K123" s="4"/>
      <c r="L123" s="23"/>
      <c r="M123" s="4"/>
      <c r="N123" s="4"/>
      <c r="O123" s="23"/>
      <c r="P123" s="4"/>
      <c r="Q123" s="4"/>
      <c r="R123" s="4"/>
      <c r="S123" s="4"/>
      <c r="T123" s="4"/>
      <c r="U123" s="4"/>
      <c r="V123" s="4"/>
      <c r="W123" s="4"/>
      <c r="X123" s="4"/>
      <c r="Y123" s="4"/>
      <c r="Z123" s="4"/>
      <c r="AA123" s="4"/>
      <c r="AB123" s="4"/>
      <c r="AC123" s="4"/>
      <c r="AD123" s="4"/>
      <c r="AE123" s="4"/>
      <c r="AF123" s="4"/>
      <c r="AG123" s="4"/>
      <c r="AH123" s="4"/>
    </row>
    <row r="124" ht="15.75" customHeight="1">
      <c r="A124" s="4"/>
      <c r="B124" s="4"/>
      <c r="C124" s="4"/>
      <c r="D124" s="23"/>
      <c r="E124" s="23"/>
      <c r="F124" s="23"/>
      <c r="G124" s="4"/>
      <c r="H124" s="4"/>
      <c r="I124" s="4"/>
      <c r="J124" s="4"/>
      <c r="K124" s="4"/>
      <c r="L124" s="23"/>
      <c r="M124" s="4"/>
      <c r="N124" s="4"/>
      <c r="O124" s="23"/>
      <c r="P124" s="4"/>
      <c r="Q124" s="4"/>
      <c r="R124" s="4"/>
      <c r="S124" s="4"/>
      <c r="T124" s="4"/>
      <c r="U124" s="4"/>
      <c r="V124" s="4"/>
      <c r="W124" s="4"/>
      <c r="X124" s="4"/>
      <c r="Y124" s="4"/>
      <c r="Z124" s="4"/>
      <c r="AA124" s="4"/>
      <c r="AB124" s="4"/>
      <c r="AC124" s="4"/>
      <c r="AD124" s="4"/>
      <c r="AE124" s="4"/>
      <c r="AF124" s="4"/>
      <c r="AG124" s="4"/>
      <c r="AH124" s="4"/>
    </row>
    <row r="125" ht="15.75" customHeight="1">
      <c r="A125" s="4"/>
      <c r="B125" s="4"/>
      <c r="C125" s="4"/>
      <c r="D125" s="23"/>
      <c r="E125" s="23"/>
      <c r="F125" s="23"/>
      <c r="G125" s="4"/>
      <c r="H125" s="4"/>
      <c r="I125" s="4"/>
      <c r="J125" s="4"/>
      <c r="K125" s="4"/>
      <c r="L125" s="23"/>
      <c r="M125" s="4"/>
      <c r="N125" s="4"/>
      <c r="O125" s="23"/>
      <c r="P125" s="4"/>
      <c r="Q125" s="4"/>
      <c r="R125" s="4"/>
      <c r="S125" s="4"/>
      <c r="T125" s="4"/>
      <c r="U125" s="4"/>
      <c r="V125" s="4"/>
      <c r="W125" s="4"/>
      <c r="X125" s="4"/>
      <c r="Y125" s="4"/>
      <c r="Z125" s="4"/>
      <c r="AA125" s="4"/>
      <c r="AB125" s="4"/>
      <c r="AC125" s="4"/>
      <c r="AD125" s="4"/>
      <c r="AE125" s="4"/>
      <c r="AF125" s="4"/>
      <c r="AG125" s="4"/>
      <c r="AH125" s="4"/>
    </row>
    <row r="126" ht="15.75" customHeight="1">
      <c r="A126" s="4"/>
      <c r="B126" s="4"/>
      <c r="C126" s="4"/>
      <c r="D126" s="23"/>
      <c r="E126" s="23"/>
      <c r="F126" s="23"/>
      <c r="G126" s="4"/>
      <c r="H126" s="4"/>
      <c r="I126" s="4"/>
      <c r="J126" s="4"/>
      <c r="K126" s="4"/>
      <c r="L126" s="23"/>
      <c r="M126" s="4"/>
      <c r="N126" s="4"/>
      <c r="O126" s="23"/>
      <c r="P126" s="4"/>
      <c r="Q126" s="4"/>
      <c r="R126" s="4"/>
      <c r="S126" s="4"/>
      <c r="T126" s="4"/>
      <c r="U126" s="4"/>
      <c r="V126" s="4"/>
      <c r="W126" s="4"/>
      <c r="X126" s="4"/>
      <c r="Y126" s="4"/>
      <c r="Z126" s="4"/>
      <c r="AA126" s="4"/>
      <c r="AB126" s="4"/>
      <c r="AC126" s="4"/>
      <c r="AD126" s="4"/>
      <c r="AE126" s="4"/>
      <c r="AF126" s="4"/>
      <c r="AG126" s="4"/>
      <c r="AH126" s="4"/>
    </row>
    <row r="127" ht="15.75" customHeight="1">
      <c r="A127" s="4"/>
      <c r="B127" s="4"/>
      <c r="C127" s="4"/>
      <c r="D127" s="23"/>
      <c r="E127" s="23"/>
      <c r="F127" s="23"/>
      <c r="G127" s="4"/>
      <c r="H127" s="4"/>
      <c r="I127" s="4"/>
      <c r="J127" s="4"/>
      <c r="K127" s="4"/>
      <c r="L127" s="23"/>
      <c r="M127" s="4"/>
      <c r="N127" s="4"/>
      <c r="O127" s="23"/>
      <c r="P127" s="4"/>
      <c r="Q127" s="4"/>
      <c r="R127" s="4"/>
      <c r="S127" s="4"/>
      <c r="T127" s="4"/>
      <c r="U127" s="4"/>
      <c r="V127" s="4"/>
      <c r="W127" s="4"/>
      <c r="X127" s="4"/>
      <c r="Y127" s="4"/>
      <c r="Z127" s="4"/>
      <c r="AA127" s="4"/>
      <c r="AB127" s="4"/>
      <c r="AC127" s="4"/>
      <c r="AD127" s="4"/>
      <c r="AE127" s="4"/>
      <c r="AF127" s="4"/>
      <c r="AG127" s="4"/>
      <c r="AH127" s="4"/>
    </row>
    <row r="128" ht="15.75" customHeight="1">
      <c r="A128" s="4"/>
      <c r="B128" s="4"/>
      <c r="C128" s="4"/>
      <c r="D128" s="23"/>
      <c r="E128" s="23"/>
      <c r="F128" s="23"/>
      <c r="G128" s="4"/>
      <c r="H128" s="4"/>
      <c r="I128" s="4"/>
      <c r="J128" s="4"/>
      <c r="K128" s="4"/>
      <c r="L128" s="23"/>
      <c r="M128" s="4"/>
      <c r="N128" s="4"/>
      <c r="O128" s="23"/>
      <c r="P128" s="4"/>
      <c r="Q128" s="4"/>
      <c r="R128" s="4"/>
      <c r="S128" s="4"/>
      <c r="T128" s="4"/>
      <c r="U128" s="4"/>
      <c r="V128" s="4"/>
      <c r="W128" s="4"/>
      <c r="X128" s="4"/>
      <c r="Y128" s="4"/>
      <c r="Z128" s="4"/>
      <c r="AA128" s="4"/>
      <c r="AB128" s="4"/>
      <c r="AC128" s="4"/>
      <c r="AD128" s="4"/>
      <c r="AE128" s="4"/>
      <c r="AF128" s="4"/>
      <c r="AG128" s="4"/>
      <c r="AH128" s="4"/>
    </row>
    <row r="129" ht="15.75" customHeight="1">
      <c r="A129" s="4"/>
      <c r="B129" s="4"/>
      <c r="C129" s="4"/>
      <c r="D129" s="23"/>
      <c r="E129" s="23"/>
      <c r="F129" s="23"/>
      <c r="G129" s="4"/>
      <c r="H129" s="4"/>
      <c r="I129" s="4"/>
      <c r="J129" s="4"/>
      <c r="K129" s="4"/>
      <c r="L129" s="23"/>
      <c r="M129" s="4"/>
      <c r="N129" s="4"/>
      <c r="O129" s="23"/>
      <c r="P129" s="4"/>
      <c r="Q129" s="4"/>
      <c r="R129" s="4"/>
      <c r="S129" s="4"/>
      <c r="T129" s="4"/>
      <c r="U129" s="4"/>
      <c r="V129" s="4"/>
      <c r="W129" s="4"/>
      <c r="X129" s="4"/>
      <c r="Y129" s="4"/>
      <c r="Z129" s="4"/>
      <c r="AA129" s="4"/>
      <c r="AB129" s="4"/>
      <c r="AC129" s="4"/>
      <c r="AD129" s="4"/>
      <c r="AE129" s="4"/>
      <c r="AF129" s="4"/>
      <c r="AG129" s="4"/>
      <c r="AH129" s="4"/>
    </row>
    <row r="130" ht="15.75" customHeight="1">
      <c r="A130" s="4"/>
      <c r="B130" s="4"/>
      <c r="C130" s="4"/>
      <c r="D130" s="23"/>
      <c r="E130" s="23"/>
      <c r="F130" s="23"/>
      <c r="G130" s="4"/>
      <c r="H130" s="4"/>
      <c r="I130" s="4"/>
      <c r="J130" s="4"/>
      <c r="K130" s="4"/>
      <c r="L130" s="23"/>
      <c r="M130" s="4"/>
      <c r="N130" s="4"/>
      <c r="O130" s="23"/>
      <c r="P130" s="4"/>
      <c r="Q130" s="4"/>
      <c r="R130" s="4"/>
      <c r="S130" s="4"/>
      <c r="T130" s="4"/>
      <c r="U130" s="4"/>
      <c r="V130" s="4"/>
      <c r="W130" s="4"/>
      <c r="X130" s="4"/>
      <c r="Y130" s="4"/>
      <c r="Z130" s="4"/>
      <c r="AA130" s="4"/>
      <c r="AB130" s="4"/>
      <c r="AC130" s="4"/>
      <c r="AD130" s="4"/>
      <c r="AE130" s="4"/>
      <c r="AF130" s="4"/>
      <c r="AG130" s="4"/>
      <c r="AH130" s="4"/>
    </row>
    <row r="131" ht="15.75" customHeight="1">
      <c r="A131" s="4"/>
      <c r="B131" s="4"/>
      <c r="C131" s="4"/>
      <c r="D131" s="23"/>
      <c r="E131" s="23"/>
      <c r="F131" s="23"/>
      <c r="G131" s="4"/>
      <c r="H131" s="4"/>
      <c r="I131" s="4"/>
      <c r="J131" s="4"/>
      <c r="K131" s="4"/>
      <c r="L131" s="23"/>
      <c r="M131" s="4"/>
      <c r="N131" s="4"/>
      <c r="O131" s="23"/>
      <c r="P131" s="4"/>
      <c r="Q131" s="4"/>
      <c r="R131" s="4"/>
      <c r="S131" s="4"/>
      <c r="T131" s="4"/>
      <c r="U131" s="4"/>
      <c r="V131" s="4"/>
      <c r="W131" s="4"/>
      <c r="X131" s="4"/>
      <c r="Y131" s="4"/>
      <c r="Z131" s="4"/>
      <c r="AA131" s="4"/>
      <c r="AB131" s="4"/>
      <c r="AC131" s="4"/>
      <c r="AD131" s="4"/>
      <c r="AE131" s="4"/>
      <c r="AF131" s="4"/>
      <c r="AG131" s="4"/>
      <c r="AH131" s="4"/>
    </row>
    <row r="132" ht="15.75" customHeight="1">
      <c r="A132" s="4"/>
      <c r="B132" s="4"/>
      <c r="C132" s="4"/>
      <c r="D132" s="23"/>
      <c r="E132" s="23"/>
      <c r="F132" s="23"/>
      <c r="G132" s="4"/>
      <c r="H132" s="4"/>
      <c r="I132" s="4"/>
      <c r="J132" s="4"/>
      <c r="K132" s="4"/>
      <c r="L132" s="23"/>
      <c r="M132" s="4"/>
      <c r="N132" s="4"/>
      <c r="O132" s="23"/>
      <c r="P132" s="4"/>
      <c r="Q132" s="4"/>
      <c r="R132" s="4"/>
      <c r="S132" s="4"/>
      <c r="T132" s="4"/>
      <c r="U132" s="4"/>
      <c r="V132" s="4"/>
      <c r="W132" s="4"/>
      <c r="X132" s="4"/>
      <c r="Y132" s="4"/>
      <c r="Z132" s="4"/>
      <c r="AA132" s="4"/>
      <c r="AB132" s="4"/>
      <c r="AC132" s="4"/>
      <c r="AD132" s="4"/>
      <c r="AE132" s="4"/>
      <c r="AF132" s="4"/>
      <c r="AG132" s="4"/>
      <c r="AH132" s="4"/>
    </row>
    <row r="133" ht="15.75" customHeight="1">
      <c r="A133" s="4"/>
      <c r="B133" s="4"/>
      <c r="C133" s="4"/>
      <c r="D133" s="23"/>
      <c r="E133" s="23"/>
      <c r="F133" s="23"/>
      <c r="G133" s="4"/>
      <c r="H133" s="4"/>
      <c r="I133" s="4"/>
      <c r="J133" s="4"/>
      <c r="K133" s="4"/>
      <c r="L133" s="23"/>
      <c r="M133" s="4"/>
      <c r="N133" s="4"/>
      <c r="O133" s="23"/>
      <c r="P133" s="4"/>
      <c r="Q133" s="4"/>
      <c r="R133" s="4"/>
      <c r="S133" s="4"/>
      <c r="T133" s="4"/>
      <c r="U133" s="4"/>
      <c r="V133" s="4"/>
      <c r="W133" s="4"/>
      <c r="X133" s="4"/>
      <c r="Y133" s="4"/>
      <c r="Z133" s="4"/>
      <c r="AA133" s="4"/>
      <c r="AB133" s="4"/>
      <c r="AC133" s="4"/>
      <c r="AD133" s="4"/>
      <c r="AE133" s="4"/>
      <c r="AF133" s="4"/>
      <c r="AG133" s="4"/>
      <c r="AH133" s="4"/>
    </row>
    <row r="134" ht="15.75" customHeight="1">
      <c r="A134" s="4"/>
      <c r="B134" s="4"/>
      <c r="C134" s="4"/>
      <c r="D134" s="23"/>
      <c r="E134" s="23"/>
      <c r="F134" s="23"/>
      <c r="G134" s="4"/>
      <c r="H134" s="4"/>
      <c r="I134" s="4"/>
      <c r="J134" s="4"/>
      <c r="K134" s="4"/>
      <c r="L134" s="23"/>
      <c r="M134" s="4"/>
      <c r="N134" s="4"/>
      <c r="O134" s="23"/>
      <c r="P134" s="4"/>
      <c r="Q134" s="4"/>
      <c r="R134" s="4"/>
      <c r="S134" s="4"/>
      <c r="T134" s="4"/>
      <c r="U134" s="4"/>
      <c r="V134" s="4"/>
      <c r="W134" s="4"/>
      <c r="X134" s="4"/>
      <c r="Y134" s="4"/>
      <c r="Z134" s="4"/>
      <c r="AA134" s="4"/>
      <c r="AB134" s="4"/>
      <c r="AC134" s="4"/>
      <c r="AD134" s="4"/>
      <c r="AE134" s="4"/>
      <c r="AF134" s="4"/>
      <c r="AG134" s="4"/>
      <c r="AH134" s="4"/>
    </row>
    <row r="135" ht="15.75" customHeight="1">
      <c r="A135" s="4"/>
      <c r="B135" s="4"/>
      <c r="C135" s="4"/>
      <c r="D135" s="23"/>
      <c r="E135" s="23"/>
      <c r="F135" s="23"/>
      <c r="G135" s="4"/>
      <c r="H135" s="4"/>
      <c r="I135" s="4"/>
      <c r="J135" s="4"/>
      <c r="K135" s="4"/>
      <c r="L135" s="23"/>
      <c r="M135" s="4"/>
      <c r="N135" s="4"/>
      <c r="O135" s="23"/>
      <c r="P135" s="4"/>
      <c r="Q135" s="4"/>
      <c r="R135" s="4"/>
      <c r="S135" s="4"/>
      <c r="T135" s="4"/>
      <c r="U135" s="4"/>
      <c r="V135" s="4"/>
      <c r="W135" s="4"/>
      <c r="X135" s="4"/>
      <c r="Y135" s="4"/>
      <c r="Z135" s="4"/>
      <c r="AA135" s="4"/>
      <c r="AB135" s="4"/>
      <c r="AC135" s="4"/>
      <c r="AD135" s="4"/>
      <c r="AE135" s="4"/>
      <c r="AF135" s="4"/>
      <c r="AG135" s="4"/>
      <c r="AH135" s="4"/>
    </row>
    <row r="136" ht="15.75" customHeight="1">
      <c r="A136" s="4"/>
      <c r="B136" s="4"/>
      <c r="C136" s="4"/>
      <c r="D136" s="23"/>
      <c r="E136" s="23"/>
      <c r="F136" s="23"/>
      <c r="G136" s="4"/>
      <c r="H136" s="4"/>
      <c r="I136" s="4"/>
      <c r="J136" s="4"/>
      <c r="K136" s="4"/>
      <c r="L136" s="23"/>
      <c r="M136" s="4"/>
      <c r="N136" s="4"/>
      <c r="O136" s="23"/>
      <c r="P136" s="4"/>
      <c r="Q136" s="4"/>
      <c r="R136" s="4"/>
      <c r="S136" s="4"/>
      <c r="T136" s="4"/>
      <c r="U136" s="4"/>
      <c r="V136" s="4"/>
      <c r="W136" s="4"/>
      <c r="X136" s="4"/>
      <c r="Y136" s="4"/>
      <c r="Z136" s="4"/>
      <c r="AA136" s="4"/>
      <c r="AB136" s="4"/>
      <c r="AC136" s="4"/>
      <c r="AD136" s="4"/>
      <c r="AE136" s="4"/>
      <c r="AF136" s="4"/>
      <c r="AG136" s="4"/>
      <c r="AH136" s="4"/>
    </row>
    <row r="137" ht="15.75" customHeight="1">
      <c r="A137" s="4"/>
      <c r="B137" s="4"/>
      <c r="C137" s="4"/>
      <c r="D137" s="23"/>
      <c r="E137" s="23"/>
      <c r="F137" s="23"/>
      <c r="G137" s="4"/>
      <c r="H137" s="4"/>
      <c r="I137" s="4"/>
      <c r="J137" s="4"/>
      <c r="K137" s="4"/>
      <c r="L137" s="23"/>
      <c r="M137" s="4"/>
      <c r="N137" s="4"/>
      <c r="O137" s="23"/>
      <c r="P137" s="4"/>
      <c r="Q137" s="4"/>
      <c r="R137" s="4"/>
      <c r="S137" s="4"/>
      <c r="T137" s="4"/>
      <c r="U137" s="4"/>
      <c r="V137" s="4"/>
      <c r="W137" s="4"/>
      <c r="X137" s="4"/>
      <c r="Y137" s="4"/>
      <c r="Z137" s="4"/>
      <c r="AA137" s="4"/>
      <c r="AB137" s="4"/>
      <c r="AC137" s="4"/>
      <c r="AD137" s="4"/>
      <c r="AE137" s="4"/>
      <c r="AF137" s="4"/>
      <c r="AG137" s="4"/>
      <c r="AH137" s="4"/>
    </row>
    <row r="138" ht="15.75" customHeight="1">
      <c r="A138" s="4"/>
      <c r="B138" s="4"/>
      <c r="C138" s="4"/>
      <c r="D138" s="23"/>
      <c r="E138" s="23"/>
      <c r="F138" s="23"/>
      <c r="G138" s="4"/>
      <c r="H138" s="4"/>
      <c r="I138" s="4"/>
      <c r="J138" s="4"/>
      <c r="K138" s="4"/>
      <c r="L138" s="23"/>
      <c r="M138" s="4"/>
      <c r="N138" s="4"/>
      <c r="O138" s="23"/>
      <c r="P138" s="4"/>
      <c r="Q138" s="4"/>
      <c r="R138" s="4"/>
      <c r="S138" s="4"/>
      <c r="T138" s="4"/>
      <c r="U138" s="4"/>
      <c r="V138" s="4"/>
      <c r="W138" s="4"/>
      <c r="X138" s="4"/>
      <c r="Y138" s="4"/>
      <c r="Z138" s="4"/>
      <c r="AA138" s="4"/>
      <c r="AB138" s="4"/>
      <c r="AC138" s="4"/>
      <c r="AD138" s="4"/>
      <c r="AE138" s="4"/>
      <c r="AF138" s="4"/>
      <c r="AG138" s="4"/>
      <c r="AH138" s="4"/>
    </row>
    <row r="139" ht="15.75" customHeight="1">
      <c r="A139" s="4"/>
      <c r="B139" s="4"/>
      <c r="C139" s="4"/>
      <c r="D139" s="23"/>
      <c r="E139" s="23"/>
      <c r="F139" s="23"/>
      <c r="G139" s="4"/>
      <c r="H139" s="4"/>
      <c r="I139" s="4"/>
      <c r="J139" s="4"/>
      <c r="K139" s="4"/>
      <c r="L139" s="23"/>
      <c r="M139" s="4"/>
      <c r="N139" s="4"/>
      <c r="O139" s="23"/>
      <c r="P139" s="4"/>
      <c r="Q139" s="4"/>
      <c r="R139" s="4"/>
      <c r="S139" s="4"/>
      <c r="T139" s="4"/>
      <c r="U139" s="4"/>
      <c r="V139" s="4"/>
      <c r="W139" s="4"/>
      <c r="X139" s="4"/>
      <c r="Y139" s="4"/>
      <c r="Z139" s="4"/>
      <c r="AA139" s="4"/>
      <c r="AB139" s="4"/>
      <c r="AC139" s="4"/>
      <c r="AD139" s="4"/>
      <c r="AE139" s="4"/>
      <c r="AF139" s="4"/>
      <c r="AG139" s="4"/>
      <c r="AH139" s="4"/>
    </row>
    <row r="140" ht="15.75" customHeight="1">
      <c r="A140" s="4"/>
      <c r="B140" s="4"/>
      <c r="C140" s="4"/>
      <c r="D140" s="23"/>
      <c r="E140" s="23"/>
      <c r="F140" s="23"/>
      <c r="G140" s="4"/>
      <c r="H140" s="4"/>
      <c r="I140" s="4"/>
      <c r="J140" s="4"/>
      <c r="K140" s="4"/>
      <c r="L140" s="23"/>
      <c r="M140" s="4"/>
      <c r="N140" s="4"/>
      <c r="O140" s="23"/>
      <c r="P140" s="4"/>
      <c r="Q140" s="4"/>
      <c r="R140" s="4"/>
      <c r="S140" s="4"/>
      <c r="T140" s="4"/>
      <c r="U140" s="4"/>
      <c r="V140" s="4"/>
      <c r="W140" s="4"/>
      <c r="X140" s="4"/>
      <c r="Y140" s="4"/>
      <c r="Z140" s="4"/>
      <c r="AA140" s="4"/>
      <c r="AB140" s="4"/>
      <c r="AC140" s="4"/>
      <c r="AD140" s="4"/>
      <c r="AE140" s="4"/>
      <c r="AF140" s="4"/>
      <c r="AG140" s="4"/>
      <c r="AH140" s="4"/>
    </row>
    <row r="141" ht="15.75" customHeight="1">
      <c r="A141" s="4"/>
      <c r="B141" s="4"/>
      <c r="C141" s="4"/>
      <c r="D141" s="23"/>
      <c r="E141" s="23"/>
      <c r="F141" s="23"/>
      <c r="G141" s="4"/>
      <c r="H141" s="4"/>
      <c r="I141" s="4"/>
      <c r="J141" s="4"/>
      <c r="K141" s="4"/>
      <c r="L141" s="23"/>
      <c r="M141" s="4"/>
      <c r="N141" s="4"/>
      <c r="O141" s="23"/>
      <c r="P141" s="4"/>
      <c r="Q141" s="4"/>
      <c r="R141" s="4"/>
      <c r="S141" s="4"/>
      <c r="T141" s="4"/>
      <c r="U141" s="4"/>
      <c r="V141" s="4"/>
      <c r="W141" s="4"/>
      <c r="X141" s="4"/>
      <c r="Y141" s="4"/>
      <c r="Z141" s="4"/>
      <c r="AA141" s="4"/>
      <c r="AB141" s="4"/>
      <c r="AC141" s="4"/>
      <c r="AD141" s="4"/>
      <c r="AE141" s="4"/>
      <c r="AF141" s="4"/>
      <c r="AG141" s="4"/>
      <c r="AH141" s="4"/>
    </row>
    <row r="142" ht="15.75" customHeight="1">
      <c r="A142" s="4"/>
      <c r="B142" s="4"/>
      <c r="C142" s="4"/>
      <c r="D142" s="23"/>
      <c r="E142" s="23"/>
      <c r="F142" s="23"/>
      <c r="G142" s="4"/>
      <c r="H142" s="4"/>
      <c r="I142" s="4"/>
      <c r="J142" s="4"/>
      <c r="K142" s="4"/>
      <c r="L142" s="23"/>
      <c r="M142" s="4"/>
      <c r="N142" s="4"/>
      <c r="O142" s="23"/>
      <c r="P142" s="4"/>
      <c r="Q142" s="4"/>
      <c r="R142" s="4"/>
      <c r="S142" s="4"/>
      <c r="T142" s="4"/>
      <c r="U142" s="4"/>
      <c r="V142" s="4"/>
      <c r="W142" s="4"/>
      <c r="X142" s="4"/>
      <c r="Y142" s="4"/>
      <c r="Z142" s="4"/>
      <c r="AA142" s="4"/>
      <c r="AB142" s="4"/>
      <c r="AC142" s="4"/>
      <c r="AD142" s="4"/>
      <c r="AE142" s="4"/>
      <c r="AF142" s="4"/>
      <c r="AG142" s="4"/>
      <c r="AH142" s="4"/>
    </row>
    <row r="143" ht="15.75" customHeight="1">
      <c r="A143" s="4"/>
      <c r="B143" s="4"/>
      <c r="C143" s="4"/>
      <c r="D143" s="23"/>
      <c r="E143" s="23"/>
      <c r="F143" s="23"/>
      <c r="G143" s="4"/>
      <c r="H143" s="4"/>
      <c r="I143" s="4"/>
      <c r="J143" s="4"/>
      <c r="K143" s="4"/>
      <c r="L143" s="23"/>
      <c r="M143" s="4"/>
      <c r="N143" s="4"/>
      <c r="O143" s="23"/>
      <c r="P143" s="4"/>
      <c r="Q143" s="4"/>
      <c r="R143" s="4"/>
      <c r="S143" s="4"/>
      <c r="T143" s="4"/>
      <c r="U143" s="4"/>
      <c r="V143" s="4"/>
      <c r="W143" s="4"/>
      <c r="X143" s="4"/>
      <c r="Y143" s="4"/>
      <c r="Z143" s="4"/>
      <c r="AA143" s="4"/>
      <c r="AB143" s="4"/>
      <c r="AC143" s="4"/>
      <c r="AD143" s="4"/>
      <c r="AE143" s="4"/>
      <c r="AF143" s="4"/>
      <c r="AG143" s="4"/>
      <c r="AH143" s="4"/>
    </row>
    <row r="144" ht="15.75" customHeight="1">
      <c r="A144" s="4"/>
      <c r="B144" s="4"/>
      <c r="C144" s="4"/>
      <c r="D144" s="23"/>
      <c r="E144" s="23"/>
      <c r="F144" s="23"/>
      <c r="G144" s="4"/>
      <c r="H144" s="4"/>
      <c r="I144" s="4"/>
      <c r="J144" s="4"/>
      <c r="K144" s="4"/>
      <c r="L144" s="23"/>
      <c r="M144" s="4"/>
      <c r="N144" s="4"/>
      <c r="O144" s="23"/>
      <c r="P144" s="4"/>
      <c r="Q144" s="4"/>
      <c r="R144" s="4"/>
      <c r="S144" s="4"/>
      <c r="T144" s="4"/>
      <c r="U144" s="4"/>
      <c r="V144" s="4"/>
      <c r="W144" s="4"/>
      <c r="X144" s="4"/>
      <c r="Y144" s="4"/>
      <c r="Z144" s="4"/>
      <c r="AA144" s="4"/>
      <c r="AB144" s="4"/>
      <c r="AC144" s="4"/>
      <c r="AD144" s="4"/>
      <c r="AE144" s="4"/>
      <c r="AF144" s="4"/>
      <c r="AG144" s="4"/>
      <c r="AH144" s="4"/>
    </row>
    <row r="145" ht="15.75" customHeight="1">
      <c r="A145" s="4"/>
      <c r="B145" s="4"/>
      <c r="C145" s="4"/>
      <c r="D145" s="23"/>
      <c r="E145" s="23"/>
      <c r="F145" s="23"/>
      <c r="G145" s="4"/>
      <c r="H145" s="4"/>
      <c r="I145" s="4"/>
      <c r="J145" s="4"/>
      <c r="K145" s="4"/>
      <c r="L145" s="23"/>
      <c r="M145" s="4"/>
      <c r="N145" s="4"/>
      <c r="O145" s="23"/>
      <c r="P145" s="4"/>
      <c r="Q145" s="4"/>
      <c r="R145" s="4"/>
      <c r="S145" s="4"/>
      <c r="T145" s="4"/>
      <c r="U145" s="4"/>
      <c r="V145" s="4"/>
      <c r="W145" s="4"/>
      <c r="X145" s="4"/>
      <c r="Y145" s="4"/>
      <c r="Z145" s="4"/>
      <c r="AA145" s="4"/>
      <c r="AB145" s="4"/>
      <c r="AC145" s="4"/>
      <c r="AD145" s="4"/>
      <c r="AE145" s="4"/>
      <c r="AF145" s="4"/>
      <c r="AG145" s="4"/>
      <c r="AH145" s="4"/>
    </row>
    <row r="146" ht="15.75" customHeight="1">
      <c r="A146" s="4"/>
      <c r="B146" s="4"/>
      <c r="C146" s="4"/>
      <c r="D146" s="23"/>
      <c r="E146" s="23"/>
      <c r="F146" s="23"/>
      <c r="G146" s="4"/>
      <c r="H146" s="4"/>
      <c r="I146" s="4"/>
      <c r="J146" s="4"/>
      <c r="K146" s="4"/>
      <c r="L146" s="23"/>
      <c r="M146" s="4"/>
      <c r="N146" s="4"/>
      <c r="O146" s="23"/>
      <c r="P146" s="4"/>
      <c r="Q146" s="4"/>
      <c r="R146" s="4"/>
      <c r="S146" s="4"/>
      <c r="T146" s="4"/>
      <c r="U146" s="4"/>
      <c r="V146" s="4"/>
      <c r="W146" s="4"/>
      <c r="X146" s="4"/>
      <c r="Y146" s="4"/>
      <c r="Z146" s="4"/>
      <c r="AA146" s="4"/>
      <c r="AB146" s="4"/>
      <c r="AC146" s="4"/>
      <c r="AD146" s="4"/>
      <c r="AE146" s="4"/>
      <c r="AF146" s="4"/>
      <c r="AG146" s="4"/>
      <c r="AH146" s="4"/>
    </row>
    <row r="147" ht="15.75" customHeight="1">
      <c r="A147" s="4"/>
      <c r="B147" s="4"/>
      <c r="C147" s="4"/>
      <c r="D147" s="23"/>
      <c r="E147" s="23"/>
      <c r="F147" s="23"/>
      <c r="G147" s="4"/>
      <c r="H147" s="4"/>
      <c r="I147" s="4"/>
      <c r="J147" s="4"/>
      <c r="K147" s="4"/>
      <c r="L147" s="23"/>
      <c r="M147" s="4"/>
      <c r="N147" s="4"/>
      <c r="O147" s="23"/>
      <c r="P147" s="4"/>
      <c r="Q147" s="4"/>
      <c r="R147" s="4"/>
      <c r="S147" s="4"/>
      <c r="T147" s="4"/>
      <c r="U147" s="4"/>
      <c r="V147" s="4"/>
      <c r="W147" s="4"/>
      <c r="X147" s="4"/>
      <c r="Y147" s="4"/>
      <c r="Z147" s="4"/>
      <c r="AA147" s="4"/>
      <c r="AB147" s="4"/>
      <c r="AC147" s="4"/>
      <c r="AD147" s="4"/>
      <c r="AE147" s="4"/>
      <c r="AF147" s="4"/>
      <c r="AG147" s="4"/>
      <c r="AH147" s="4"/>
    </row>
    <row r="148" ht="15.75" customHeight="1">
      <c r="A148" s="4"/>
      <c r="B148" s="4"/>
      <c r="C148" s="4"/>
      <c r="D148" s="23"/>
      <c r="E148" s="23"/>
      <c r="F148" s="23"/>
      <c r="G148" s="4"/>
      <c r="H148" s="4"/>
      <c r="I148" s="4"/>
      <c r="J148" s="4"/>
      <c r="K148" s="4"/>
      <c r="L148" s="23"/>
      <c r="M148" s="4"/>
      <c r="N148" s="4"/>
      <c r="O148" s="23"/>
      <c r="P148" s="4"/>
      <c r="Q148" s="4"/>
      <c r="R148" s="4"/>
      <c r="S148" s="4"/>
      <c r="T148" s="4"/>
      <c r="U148" s="4"/>
      <c r="V148" s="4"/>
      <c r="W148" s="4"/>
      <c r="X148" s="4"/>
      <c r="Y148" s="4"/>
      <c r="Z148" s="4"/>
      <c r="AA148" s="4"/>
      <c r="AB148" s="4"/>
      <c r="AC148" s="4"/>
      <c r="AD148" s="4"/>
      <c r="AE148" s="4"/>
      <c r="AF148" s="4"/>
      <c r="AG148" s="4"/>
      <c r="AH148" s="4"/>
    </row>
    <row r="149" ht="15.75" customHeight="1">
      <c r="A149" s="4"/>
      <c r="B149" s="4"/>
      <c r="C149" s="4"/>
      <c r="D149" s="23"/>
      <c r="E149" s="23"/>
      <c r="F149" s="23"/>
      <c r="G149" s="4"/>
      <c r="H149" s="4"/>
      <c r="I149" s="4"/>
      <c r="J149" s="4"/>
      <c r="K149" s="4"/>
      <c r="L149" s="23"/>
      <c r="M149" s="4"/>
      <c r="N149" s="4"/>
      <c r="O149" s="23"/>
      <c r="P149" s="4"/>
      <c r="Q149" s="4"/>
      <c r="R149" s="4"/>
      <c r="S149" s="4"/>
      <c r="T149" s="4"/>
      <c r="U149" s="4"/>
      <c r="V149" s="4"/>
      <c r="W149" s="4"/>
      <c r="X149" s="4"/>
      <c r="Y149" s="4"/>
      <c r="Z149" s="4"/>
      <c r="AA149" s="4"/>
      <c r="AB149" s="4"/>
      <c r="AC149" s="4"/>
      <c r="AD149" s="4"/>
      <c r="AE149" s="4"/>
      <c r="AF149" s="4"/>
      <c r="AG149" s="4"/>
      <c r="AH149" s="4"/>
    </row>
    <row r="150" ht="15.75" customHeight="1">
      <c r="A150" s="4"/>
      <c r="B150" s="4"/>
      <c r="C150" s="4"/>
      <c r="D150" s="23"/>
      <c r="E150" s="23"/>
      <c r="F150" s="23"/>
      <c r="G150" s="4"/>
      <c r="H150" s="4"/>
      <c r="I150" s="4"/>
      <c r="J150" s="4"/>
      <c r="K150" s="4"/>
      <c r="L150" s="23"/>
      <c r="M150" s="4"/>
      <c r="N150" s="4"/>
      <c r="O150" s="23"/>
      <c r="P150" s="4"/>
      <c r="Q150" s="4"/>
      <c r="R150" s="4"/>
      <c r="S150" s="4"/>
      <c r="T150" s="4"/>
      <c r="U150" s="4"/>
      <c r="V150" s="4"/>
      <c r="W150" s="4"/>
      <c r="X150" s="4"/>
      <c r="Y150" s="4"/>
      <c r="Z150" s="4"/>
      <c r="AA150" s="4"/>
      <c r="AB150" s="4"/>
      <c r="AC150" s="4"/>
      <c r="AD150" s="4"/>
      <c r="AE150" s="4"/>
      <c r="AF150" s="4"/>
      <c r="AG150" s="4"/>
      <c r="AH150" s="4"/>
    </row>
    <row r="151" ht="15.75" customHeight="1">
      <c r="A151" s="4"/>
      <c r="B151" s="4"/>
      <c r="C151" s="4"/>
      <c r="D151" s="23"/>
      <c r="E151" s="23"/>
      <c r="F151" s="23"/>
      <c r="G151" s="4"/>
      <c r="H151" s="4"/>
      <c r="I151" s="4"/>
      <c r="J151" s="4"/>
      <c r="K151" s="4"/>
      <c r="L151" s="23"/>
      <c r="M151" s="4"/>
      <c r="N151" s="4"/>
      <c r="O151" s="23"/>
      <c r="P151" s="4"/>
      <c r="Q151" s="4"/>
      <c r="R151" s="4"/>
      <c r="S151" s="4"/>
      <c r="T151" s="4"/>
      <c r="U151" s="4"/>
      <c r="V151" s="4"/>
      <c r="W151" s="4"/>
      <c r="X151" s="4"/>
      <c r="Y151" s="4"/>
      <c r="Z151" s="4"/>
      <c r="AA151" s="4"/>
      <c r="AB151" s="4"/>
      <c r="AC151" s="4"/>
      <c r="AD151" s="4"/>
      <c r="AE151" s="4"/>
      <c r="AF151" s="4"/>
      <c r="AG151" s="4"/>
      <c r="AH151" s="4"/>
    </row>
    <row r="152" ht="15.75" customHeight="1">
      <c r="A152" s="4"/>
      <c r="B152" s="4"/>
      <c r="C152" s="4"/>
      <c r="D152" s="23"/>
      <c r="E152" s="23"/>
      <c r="F152" s="23"/>
      <c r="G152" s="4"/>
      <c r="H152" s="4"/>
      <c r="I152" s="4"/>
      <c r="J152" s="4"/>
      <c r="K152" s="4"/>
      <c r="L152" s="23"/>
      <c r="M152" s="4"/>
      <c r="N152" s="4"/>
      <c r="O152" s="23"/>
      <c r="P152" s="4"/>
      <c r="Q152" s="4"/>
      <c r="R152" s="4"/>
      <c r="S152" s="4"/>
      <c r="T152" s="4"/>
      <c r="U152" s="4"/>
      <c r="V152" s="4"/>
      <c r="W152" s="4"/>
      <c r="X152" s="4"/>
      <c r="Y152" s="4"/>
      <c r="Z152" s="4"/>
      <c r="AA152" s="4"/>
      <c r="AB152" s="4"/>
      <c r="AC152" s="4"/>
      <c r="AD152" s="4"/>
      <c r="AE152" s="4"/>
      <c r="AF152" s="4"/>
      <c r="AG152" s="4"/>
      <c r="AH152" s="4"/>
    </row>
    <row r="153" ht="15.75" customHeight="1">
      <c r="A153" s="4"/>
      <c r="B153" s="4"/>
      <c r="C153" s="4"/>
      <c r="D153" s="23"/>
      <c r="E153" s="23"/>
      <c r="F153" s="23"/>
      <c r="G153" s="4"/>
      <c r="H153" s="4"/>
      <c r="I153" s="4"/>
      <c r="J153" s="4"/>
      <c r="K153" s="4"/>
      <c r="L153" s="23"/>
      <c r="M153" s="4"/>
      <c r="N153" s="4"/>
      <c r="O153" s="23"/>
      <c r="P153" s="4"/>
      <c r="Q153" s="4"/>
      <c r="R153" s="4"/>
      <c r="S153" s="4"/>
      <c r="T153" s="4"/>
      <c r="U153" s="4"/>
      <c r="V153" s="4"/>
      <c r="W153" s="4"/>
      <c r="X153" s="4"/>
      <c r="Y153" s="4"/>
      <c r="Z153" s="4"/>
      <c r="AA153" s="4"/>
      <c r="AB153" s="4"/>
      <c r="AC153" s="4"/>
      <c r="AD153" s="4"/>
      <c r="AE153" s="4"/>
      <c r="AF153" s="4"/>
      <c r="AG153" s="4"/>
      <c r="AH153" s="4"/>
    </row>
    <row r="154" ht="15.75" customHeight="1">
      <c r="A154" s="4"/>
      <c r="B154" s="4"/>
      <c r="C154" s="4"/>
      <c r="D154" s="23"/>
      <c r="E154" s="23"/>
      <c r="F154" s="23"/>
      <c r="G154" s="4"/>
      <c r="H154" s="4"/>
      <c r="I154" s="4"/>
      <c r="J154" s="4"/>
      <c r="K154" s="4"/>
      <c r="L154" s="23"/>
      <c r="M154" s="4"/>
      <c r="N154" s="4"/>
      <c r="O154" s="23"/>
      <c r="P154" s="4"/>
      <c r="Q154" s="4"/>
      <c r="R154" s="4"/>
      <c r="S154" s="4"/>
      <c r="T154" s="4"/>
      <c r="U154" s="4"/>
      <c r="V154" s="4"/>
      <c r="W154" s="4"/>
      <c r="X154" s="4"/>
      <c r="Y154" s="4"/>
      <c r="Z154" s="4"/>
      <c r="AA154" s="4"/>
      <c r="AB154" s="4"/>
      <c r="AC154" s="4"/>
      <c r="AD154" s="4"/>
      <c r="AE154" s="4"/>
      <c r="AF154" s="4"/>
      <c r="AG154" s="4"/>
      <c r="AH154" s="4"/>
    </row>
    <row r="155" ht="15.75" customHeight="1">
      <c r="A155" s="4"/>
      <c r="B155" s="4"/>
      <c r="C155" s="4"/>
      <c r="D155" s="23"/>
      <c r="E155" s="23"/>
      <c r="F155" s="23"/>
      <c r="G155" s="4"/>
      <c r="H155" s="4"/>
      <c r="I155" s="4"/>
      <c r="J155" s="4"/>
      <c r="K155" s="4"/>
      <c r="L155" s="23"/>
      <c r="M155" s="4"/>
      <c r="N155" s="4"/>
      <c r="O155" s="23"/>
      <c r="P155" s="4"/>
      <c r="Q155" s="4"/>
      <c r="R155" s="4"/>
      <c r="S155" s="4"/>
      <c r="T155" s="4"/>
      <c r="U155" s="4"/>
      <c r="V155" s="4"/>
      <c r="W155" s="4"/>
      <c r="X155" s="4"/>
      <c r="Y155" s="4"/>
      <c r="Z155" s="4"/>
      <c r="AA155" s="4"/>
      <c r="AB155" s="4"/>
      <c r="AC155" s="4"/>
      <c r="AD155" s="4"/>
      <c r="AE155" s="4"/>
      <c r="AF155" s="4"/>
      <c r="AG155" s="4"/>
      <c r="AH155" s="4"/>
    </row>
    <row r="156" ht="15.75" customHeight="1">
      <c r="A156" s="4"/>
      <c r="B156" s="4"/>
      <c r="C156" s="4"/>
      <c r="D156" s="23"/>
      <c r="E156" s="23"/>
      <c r="F156" s="23"/>
      <c r="G156" s="4"/>
      <c r="H156" s="4"/>
      <c r="I156" s="4"/>
      <c r="J156" s="4"/>
      <c r="K156" s="4"/>
      <c r="L156" s="23"/>
      <c r="M156" s="4"/>
      <c r="N156" s="4"/>
      <c r="O156" s="23"/>
      <c r="P156" s="4"/>
      <c r="Q156" s="4"/>
      <c r="R156" s="4"/>
      <c r="S156" s="4"/>
      <c r="T156" s="4"/>
      <c r="U156" s="4"/>
      <c r="V156" s="4"/>
      <c r="W156" s="4"/>
      <c r="X156" s="4"/>
      <c r="Y156" s="4"/>
      <c r="Z156" s="4"/>
      <c r="AA156" s="4"/>
      <c r="AB156" s="4"/>
      <c r="AC156" s="4"/>
      <c r="AD156" s="4"/>
      <c r="AE156" s="4"/>
      <c r="AF156" s="4"/>
      <c r="AG156" s="4"/>
      <c r="AH156" s="4"/>
    </row>
    <row r="157" ht="15.75" customHeight="1">
      <c r="A157" s="4"/>
      <c r="B157" s="4"/>
      <c r="C157" s="4"/>
      <c r="D157" s="23"/>
      <c r="E157" s="23"/>
      <c r="F157" s="23"/>
      <c r="G157" s="4"/>
      <c r="H157" s="4"/>
      <c r="I157" s="4"/>
      <c r="J157" s="4"/>
      <c r="K157" s="4"/>
      <c r="L157" s="23"/>
      <c r="M157" s="4"/>
      <c r="N157" s="4"/>
      <c r="O157" s="23"/>
      <c r="P157" s="4"/>
      <c r="Q157" s="4"/>
      <c r="R157" s="4"/>
      <c r="S157" s="4"/>
      <c r="T157" s="4"/>
      <c r="U157" s="4"/>
      <c r="V157" s="4"/>
      <c r="W157" s="4"/>
      <c r="X157" s="4"/>
      <c r="Y157" s="4"/>
      <c r="Z157" s="4"/>
      <c r="AA157" s="4"/>
      <c r="AB157" s="4"/>
      <c r="AC157" s="4"/>
      <c r="AD157" s="4"/>
      <c r="AE157" s="4"/>
      <c r="AF157" s="4"/>
      <c r="AG157" s="4"/>
      <c r="AH157" s="4"/>
    </row>
    <row r="158" ht="15.75" customHeight="1">
      <c r="A158" s="4"/>
      <c r="B158" s="4"/>
      <c r="C158" s="4"/>
      <c r="D158" s="23"/>
      <c r="E158" s="23"/>
      <c r="F158" s="23"/>
      <c r="G158" s="4"/>
      <c r="H158" s="4"/>
      <c r="I158" s="4"/>
      <c r="J158" s="4"/>
      <c r="K158" s="4"/>
      <c r="L158" s="23"/>
      <c r="M158" s="4"/>
      <c r="N158" s="4"/>
      <c r="O158" s="23"/>
      <c r="P158" s="4"/>
      <c r="Q158" s="4"/>
      <c r="R158" s="4"/>
      <c r="S158" s="4"/>
      <c r="T158" s="4"/>
      <c r="U158" s="4"/>
      <c r="V158" s="4"/>
      <c r="W158" s="4"/>
      <c r="X158" s="4"/>
      <c r="Y158" s="4"/>
      <c r="Z158" s="4"/>
      <c r="AA158" s="4"/>
      <c r="AB158" s="4"/>
      <c r="AC158" s="4"/>
      <c r="AD158" s="4"/>
      <c r="AE158" s="4"/>
      <c r="AF158" s="4"/>
      <c r="AG158" s="4"/>
      <c r="AH158" s="4"/>
    </row>
    <row r="159" ht="15.75" customHeight="1">
      <c r="A159" s="4"/>
      <c r="B159" s="4"/>
      <c r="C159" s="4"/>
      <c r="D159" s="23"/>
      <c r="E159" s="23"/>
      <c r="F159" s="23"/>
      <c r="G159" s="4"/>
      <c r="H159" s="4"/>
      <c r="I159" s="4"/>
      <c r="J159" s="4"/>
      <c r="K159" s="4"/>
      <c r="L159" s="23"/>
      <c r="M159" s="4"/>
      <c r="N159" s="4"/>
      <c r="O159" s="23"/>
      <c r="P159" s="4"/>
      <c r="Q159" s="4"/>
      <c r="R159" s="4"/>
      <c r="S159" s="4"/>
      <c r="T159" s="4"/>
      <c r="U159" s="4"/>
      <c r="V159" s="4"/>
      <c r="W159" s="4"/>
      <c r="X159" s="4"/>
      <c r="Y159" s="4"/>
      <c r="Z159" s="4"/>
      <c r="AA159" s="4"/>
      <c r="AB159" s="4"/>
      <c r="AC159" s="4"/>
      <c r="AD159" s="4"/>
      <c r="AE159" s="4"/>
      <c r="AF159" s="4"/>
      <c r="AG159" s="4"/>
      <c r="AH159" s="4"/>
    </row>
    <row r="160" ht="15.75" customHeight="1">
      <c r="A160" s="4"/>
      <c r="B160" s="4"/>
      <c r="C160" s="4"/>
      <c r="D160" s="23"/>
      <c r="E160" s="23"/>
      <c r="F160" s="23"/>
      <c r="G160" s="4"/>
      <c r="H160" s="4"/>
      <c r="I160" s="4"/>
      <c r="J160" s="4"/>
      <c r="K160" s="4"/>
      <c r="L160" s="23"/>
      <c r="M160" s="4"/>
      <c r="N160" s="4"/>
      <c r="O160" s="23"/>
      <c r="P160" s="4"/>
      <c r="Q160" s="4"/>
      <c r="R160" s="4"/>
      <c r="S160" s="4"/>
      <c r="T160" s="4"/>
      <c r="U160" s="4"/>
      <c r="V160" s="4"/>
      <c r="W160" s="4"/>
      <c r="X160" s="4"/>
      <c r="Y160" s="4"/>
      <c r="Z160" s="4"/>
      <c r="AA160" s="4"/>
      <c r="AB160" s="4"/>
      <c r="AC160" s="4"/>
      <c r="AD160" s="4"/>
      <c r="AE160" s="4"/>
      <c r="AF160" s="4"/>
      <c r="AG160" s="4"/>
      <c r="AH160" s="4"/>
    </row>
    <row r="161" ht="15.75" customHeight="1">
      <c r="A161" s="4"/>
      <c r="B161" s="4"/>
      <c r="C161" s="4"/>
      <c r="D161" s="23"/>
      <c r="E161" s="23"/>
      <c r="F161" s="23"/>
      <c r="G161" s="4"/>
      <c r="H161" s="4"/>
      <c r="I161" s="4"/>
      <c r="J161" s="4"/>
      <c r="K161" s="4"/>
      <c r="L161" s="23"/>
      <c r="M161" s="4"/>
      <c r="N161" s="4"/>
      <c r="O161" s="23"/>
      <c r="P161" s="4"/>
      <c r="Q161" s="4"/>
      <c r="R161" s="4"/>
      <c r="S161" s="4"/>
      <c r="T161" s="4"/>
      <c r="U161" s="4"/>
      <c r="V161" s="4"/>
      <c r="W161" s="4"/>
      <c r="X161" s="4"/>
      <c r="Y161" s="4"/>
      <c r="Z161" s="4"/>
      <c r="AA161" s="4"/>
      <c r="AB161" s="4"/>
      <c r="AC161" s="4"/>
      <c r="AD161" s="4"/>
      <c r="AE161" s="4"/>
      <c r="AF161" s="4"/>
      <c r="AG161" s="4"/>
      <c r="AH161" s="4"/>
    </row>
    <row r="162" ht="15.75" customHeight="1">
      <c r="A162" s="4"/>
      <c r="B162" s="4"/>
      <c r="C162" s="4"/>
      <c r="D162" s="23"/>
      <c r="E162" s="23"/>
      <c r="F162" s="23"/>
      <c r="G162" s="4"/>
      <c r="H162" s="4"/>
      <c r="I162" s="4"/>
      <c r="J162" s="4"/>
      <c r="K162" s="4"/>
      <c r="L162" s="23"/>
      <c r="M162" s="4"/>
      <c r="N162" s="4"/>
      <c r="O162" s="23"/>
      <c r="P162" s="4"/>
      <c r="Q162" s="4"/>
      <c r="R162" s="4"/>
      <c r="S162" s="4"/>
      <c r="T162" s="4"/>
      <c r="U162" s="4"/>
      <c r="V162" s="4"/>
      <c r="W162" s="4"/>
      <c r="X162" s="4"/>
      <c r="Y162" s="4"/>
      <c r="Z162" s="4"/>
      <c r="AA162" s="4"/>
      <c r="AB162" s="4"/>
      <c r="AC162" s="4"/>
      <c r="AD162" s="4"/>
      <c r="AE162" s="4"/>
      <c r="AF162" s="4"/>
      <c r="AG162" s="4"/>
      <c r="AH162" s="4"/>
    </row>
    <row r="163" ht="15.75" customHeight="1">
      <c r="A163" s="4"/>
      <c r="B163" s="4"/>
      <c r="C163" s="4"/>
      <c r="D163" s="23"/>
      <c r="E163" s="23"/>
      <c r="F163" s="23"/>
      <c r="G163" s="4"/>
      <c r="H163" s="4"/>
      <c r="I163" s="4"/>
      <c r="J163" s="4"/>
      <c r="K163" s="4"/>
      <c r="L163" s="23"/>
      <c r="M163" s="4"/>
      <c r="N163" s="4"/>
      <c r="O163" s="23"/>
      <c r="P163" s="4"/>
      <c r="Q163" s="4"/>
      <c r="R163" s="4"/>
      <c r="S163" s="4"/>
      <c r="T163" s="4"/>
      <c r="U163" s="4"/>
      <c r="V163" s="4"/>
      <c r="W163" s="4"/>
      <c r="X163" s="4"/>
      <c r="Y163" s="4"/>
      <c r="Z163" s="4"/>
      <c r="AA163" s="4"/>
      <c r="AB163" s="4"/>
      <c r="AC163" s="4"/>
      <c r="AD163" s="4"/>
      <c r="AE163" s="4"/>
      <c r="AF163" s="4"/>
      <c r="AG163" s="4"/>
      <c r="AH163" s="4"/>
    </row>
    <row r="164" ht="15.75" customHeight="1">
      <c r="A164" s="4"/>
      <c r="B164" s="4"/>
      <c r="C164" s="4"/>
      <c r="D164" s="23"/>
      <c r="E164" s="23"/>
      <c r="F164" s="23"/>
      <c r="G164" s="4"/>
      <c r="H164" s="4"/>
      <c r="I164" s="4"/>
      <c r="J164" s="4"/>
      <c r="K164" s="4"/>
      <c r="L164" s="23"/>
      <c r="M164" s="4"/>
      <c r="N164" s="4"/>
      <c r="O164" s="23"/>
      <c r="P164" s="4"/>
      <c r="Q164" s="4"/>
      <c r="R164" s="4"/>
      <c r="S164" s="4"/>
      <c r="T164" s="4"/>
      <c r="U164" s="4"/>
      <c r="V164" s="4"/>
      <c r="W164" s="4"/>
      <c r="X164" s="4"/>
      <c r="Y164" s="4"/>
      <c r="Z164" s="4"/>
      <c r="AA164" s="4"/>
      <c r="AB164" s="4"/>
      <c r="AC164" s="4"/>
      <c r="AD164" s="4"/>
      <c r="AE164" s="4"/>
      <c r="AF164" s="4"/>
      <c r="AG164" s="4"/>
      <c r="AH164" s="4"/>
    </row>
    <row r="165" ht="15.75" customHeight="1">
      <c r="A165" s="4"/>
      <c r="B165" s="4"/>
      <c r="C165" s="4"/>
      <c r="D165" s="23"/>
      <c r="E165" s="23"/>
      <c r="F165" s="23"/>
      <c r="G165" s="4"/>
      <c r="H165" s="4"/>
      <c r="I165" s="4"/>
      <c r="J165" s="4"/>
      <c r="K165" s="4"/>
      <c r="L165" s="23"/>
      <c r="M165" s="4"/>
      <c r="N165" s="4"/>
      <c r="O165" s="23"/>
      <c r="P165" s="4"/>
      <c r="Q165" s="4"/>
      <c r="R165" s="4"/>
      <c r="S165" s="4"/>
      <c r="T165" s="4"/>
      <c r="U165" s="4"/>
      <c r="V165" s="4"/>
      <c r="W165" s="4"/>
      <c r="X165" s="4"/>
      <c r="Y165" s="4"/>
      <c r="Z165" s="4"/>
      <c r="AA165" s="4"/>
      <c r="AB165" s="4"/>
      <c r="AC165" s="4"/>
      <c r="AD165" s="4"/>
      <c r="AE165" s="4"/>
      <c r="AF165" s="4"/>
      <c r="AG165" s="4"/>
      <c r="AH165" s="4"/>
    </row>
    <row r="166" ht="15.75" customHeight="1">
      <c r="A166" s="4"/>
      <c r="B166" s="4"/>
      <c r="C166" s="4"/>
      <c r="D166" s="23"/>
      <c r="E166" s="23"/>
      <c r="F166" s="23"/>
      <c r="G166" s="4"/>
      <c r="H166" s="4"/>
      <c r="I166" s="4"/>
      <c r="J166" s="4"/>
      <c r="K166" s="4"/>
      <c r="L166" s="23"/>
      <c r="M166" s="4"/>
      <c r="N166" s="4"/>
      <c r="O166" s="23"/>
      <c r="P166" s="4"/>
      <c r="Q166" s="4"/>
      <c r="R166" s="4"/>
      <c r="S166" s="4"/>
      <c r="T166" s="4"/>
      <c r="U166" s="4"/>
      <c r="V166" s="4"/>
      <c r="W166" s="4"/>
      <c r="X166" s="4"/>
      <c r="Y166" s="4"/>
      <c r="Z166" s="4"/>
      <c r="AA166" s="4"/>
      <c r="AB166" s="4"/>
      <c r="AC166" s="4"/>
      <c r="AD166" s="4"/>
      <c r="AE166" s="4"/>
      <c r="AF166" s="4"/>
      <c r="AG166" s="4"/>
      <c r="AH166" s="4"/>
    </row>
    <row r="167" ht="15.75" customHeight="1">
      <c r="A167" s="4"/>
      <c r="B167" s="4"/>
      <c r="C167" s="4"/>
      <c r="D167" s="23"/>
      <c r="E167" s="23"/>
      <c r="F167" s="23"/>
      <c r="G167" s="4"/>
      <c r="H167" s="4"/>
      <c r="I167" s="4"/>
      <c r="J167" s="4"/>
      <c r="K167" s="4"/>
      <c r="L167" s="23"/>
      <c r="M167" s="4"/>
      <c r="N167" s="4"/>
      <c r="O167" s="23"/>
      <c r="P167" s="4"/>
      <c r="Q167" s="4"/>
      <c r="R167" s="4"/>
      <c r="S167" s="4"/>
      <c r="T167" s="4"/>
      <c r="U167" s="4"/>
      <c r="V167" s="4"/>
      <c r="W167" s="4"/>
      <c r="X167" s="4"/>
      <c r="Y167" s="4"/>
      <c r="Z167" s="4"/>
      <c r="AA167" s="4"/>
      <c r="AB167" s="4"/>
      <c r="AC167" s="4"/>
      <c r="AD167" s="4"/>
      <c r="AE167" s="4"/>
      <c r="AF167" s="4"/>
      <c r="AG167" s="4"/>
      <c r="AH167" s="4"/>
    </row>
    <row r="168" ht="15.75" customHeight="1">
      <c r="A168" s="4"/>
      <c r="B168" s="4"/>
      <c r="C168" s="4"/>
      <c r="D168" s="23"/>
      <c r="E168" s="23"/>
      <c r="F168" s="23"/>
      <c r="G168" s="4"/>
      <c r="H168" s="4"/>
      <c r="I168" s="4"/>
      <c r="J168" s="4"/>
      <c r="K168" s="4"/>
      <c r="L168" s="23"/>
      <c r="M168" s="4"/>
      <c r="N168" s="4"/>
      <c r="O168" s="23"/>
      <c r="P168" s="4"/>
      <c r="Q168" s="4"/>
      <c r="R168" s="4"/>
      <c r="S168" s="4"/>
      <c r="T168" s="4"/>
      <c r="U168" s="4"/>
      <c r="V168" s="4"/>
      <c r="W168" s="4"/>
      <c r="X168" s="4"/>
      <c r="Y168" s="4"/>
      <c r="Z168" s="4"/>
      <c r="AA168" s="4"/>
      <c r="AB168" s="4"/>
      <c r="AC168" s="4"/>
      <c r="AD168" s="4"/>
      <c r="AE168" s="4"/>
      <c r="AF168" s="4"/>
      <c r="AG168" s="4"/>
      <c r="AH168" s="4"/>
    </row>
    <row r="169" ht="15.75" customHeight="1">
      <c r="A169" s="4"/>
      <c r="B169" s="4"/>
      <c r="C169" s="4"/>
      <c r="D169" s="23"/>
      <c r="E169" s="23"/>
      <c r="F169" s="23"/>
      <c r="G169" s="4"/>
      <c r="H169" s="4"/>
      <c r="I169" s="4"/>
      <c r="J169" s="4"/>
      <c r="K169" s="4"/>
      <c r="L169" s="23"/>
      <c r="M169" s="4"/>
      <c r="N169" s="4"/>
      <c r="O169" s="23"/>
      <c r="P169" s="4"/>
      <c r="Q169" s="4"/>
      <c r="R169" s="4"/>
      <c r="S169" s="4"/>
      <c r="T169" s="4"/>
      <c r="U169" s="4"/>
      <c r="V169" s="4"/>
      <c r="W169" s="4"/>
      <c r="X169" s="4"/>
      <c r="Y169" s="4"/>
      <c r="Z169" s="4"/>
      <c r="AA169" s="4"/>
      <c r="AB169" s="4"/>
      <c r="AC169" s="4"/>
      <c r="AD169" s="4"/>
      <c r="AE169" s="4"/>
      <c r="AF169" s="4"/>
      <c r="AG169" s="4"/>
      <c r="AH169" s="4"/>
    </row>
    <row r="170" ht="15.75" customHeight="1">
      <c r="A170" s="4"/>
      <c r="B170" s="4"/>
      <c r="C170" s="4"/>
      <c r="D170" s="23"/>
      <c r="E170" s="23"/>
      <c r="F170" s="23"/>
      <c r="G170" s="4"/>
      <c r="H170" s="4"/>
      <c r="I170" s="4"/>
      <c r="J170" s="4"/>
      <c r="K170" s="4"/>
      <c r="L170" s="23"/>
      <c r="M170" s="4"/>
      <c r="N170" s="4"/>
      <c r="O170" s="23"/>
      <c r="P170" s="4"/>
      <c r="Q170" s="4"/>
      <c r="R170" s="4"/>
      <c r="S170" s="4"/>
      <c r="T170" s="4"/>
      <c r="U170" s="4"/>
      <c r="V170" s="4"/>
      <c r="W170" s="4"/>
      <c r="X170" s="4"/>
      <c r="Y170" s="4"/>
      <c r="Z170" s="4"/>
      <c r="AA170" s="4"/>
      <c r="AB170" s="4"/>
      <c r="AC170" s="4"/>
      <c r="AD170" s="4"/>
      <c r="AE170" s="4"/>
      <c r="AF170" s="4"/>
      <c r="AG170" s="4"/>
      <c r="AH170" s="4"/>
    </row>
    <row r="171" ht="15.75" customHeight="1">
      <c r="A171" s="4"/>
      <c r="B171" s="4"/>
      <c r="C171" s="4"/>
      <c r="D171" s="23"/>
      <c r="E171" s="23"/>
      <c r="F171" s="23"/>
      <c r="G171" s="4"/>
      <c r="H171" s="4"/>
      <c r="I171" s="4"/>
      <c r="J171" s="4"/>
      <c r="K171" s="4"/>
      <c r="L171" s="23"/>
      <c r="M171" s="4"/>
      <c r="N171" s="4"/>
      <c r="O171" s="23"/>
      <c r="P171" s="4"/>
      <c r="Q171" s="4"/>
      <c r="R171" s="4"/>
      <c r="S171" s="4"/>
      <c r="T171" s="4"/>
      <c r="U171" s="4"/>
      <c r="V171" s="4"/>
      <c r="W171" s="4"/>
      <c r="X171" s="4"/>
      <c r="Y171" s="4"/>
      <c r="Z171" s="4"/>
      <c r="AA171" s="4"/>
      <c r="AB171" s="4"/>
      <c r="AC171" s="4"/>
      <c r="AD171" s="4"/>
      <c r="AE171" s="4"/>
      <c r="AF171" s="4"/>
      <c r="AG171" s="4"/>
      <c r="AH171" s="4"/>
    </row>
    <row r="172" ht="15.75" customHeight="1">
      <c r="A172" s="4"/>
      <c r="B172" s="4"/>
      <c r="C172" s="4"/>
      <c r="D172" s="23"/>
      <c r="E172" s="23"/>
      <c r="F172" s="23"/>
      <c r="G172" s="4"/>
      <c r="H172" s="4"/>
      <c r="I172" s="4"/>
      <c r="J172" s="4"/>
      <c r="K172" s="4"/>
      <c r="L172" s="23"/>
      <c r="M172" s="4"/>
      <c r="N172" s="4"/>
      <c r="O172" s="23"/>
      <c r="P172" s="4"/>
      <c r="Q172" s="4"/>
      <c r="R172" s="4"/>
      <c r="S172" s="4"/>
      <c r="T172" s="4"/>
      <c r="U172" s="4"/>
      <c r="V172" s="4"/>
      <c r="W172" s="4"/>
      <c r="X172" s="4"/>
      <c r="Y172" s="4"/>
      <c r="Z172" s="4"/>
      <c r="AA172" s="4"/>
      <c r="AB172" s="4"/>
      <c r="AC172" s="4"/>
      <c r="AD172" s="4"/>
      <c r="AE172" s="4"/>
      <c r="AF172" s="4"/>
      <c r="AG172" s="4"/>
      <c r="AH172" s="4"/>
    </row>
    <row r="173" ht="15.75" customHeight="1">
      <c r="A173" s="4"/>
      <c r="B173" s="4"/>
      <c r="C173" s="4"/>
      <c r="D173" s="23"/>
      <c r="E173" s="23"/>
      <c r="F173" s="23"/>
      <c r="G173" s="4"/>
      <c r="H173" s="4"/>
      <c r="I173" s="4"/>
      <c r="J173" s="4"/>
      <c r="K173" s="4"/>
      <c r="L173" s="23"/>
      <c r="M173" s="4"/>
      <c r="N173" s="4"/>
      <c r="O173" s="23"/>
      <c r="P173" s="4"/>
      <c r="Q173" s="4"/>
      <c r="R173" s="4"/>
      <c r="S173" s="4"/>
      <c r="T173" s="4"/>
      <c r="U173" s="4"/>
      <c r="V173" s="4"/>
      <c r="W173" s="4"/>
      <c r="X173" s="4"/>
      <c r="Y173" s="4"/>
      <c r="Z173" s="4"/>
      <c r="AA173" s="4"/>
      <c r="AB173" s="4"/>
      <c r="AC173" s="4"/>
      <c r="AD173" s="4"/>
      <c r="AE173" s="4"/>
      <c r="AF173" s="4"/>
      <c r="AG173" s="4"/>
      <c r="AH173" s="4"/>
    </row>
    <row r="174" ht="15.75" customHeight="1">
      <c r="A174" s="4"/>
      <c r="B174" s="4"/>
      <c r="C174" s="4"/>
      <c r="D174" s="23"/>
      <c r="E174" s="23"/>
      <c r="F174" s="23"/>
      <c r="G174" s="4"/>
      <c r="H174" s="4"/>
      <c r="I174" s="4"/>
      <c r="J174" s="4"/>
      <c r="K174" s="4"/>
      <c r="L174" s="23"/>
      <c r="M174" s="4"/>
      <c r="N174" s="4"/>
      <c r="O174" s="23"/>
      <c r="P174" s="4"/>
      <c r="Q174" s="4"/>
      <c r="R174" s="4"/>
      <c r="S174" s="4"/>
      <c r="T174" s="4"/>
      <c r="U174" s="4"/>
      <c r="V174" s="4"/>
      <c r="W174" s="4"/>
      <c r="X174" s="4"/>
      <c r="Y174" s="4"/>
      <c r="Z174" s="4"/>
      <c r="AA174" s="4"/>
      <c r="AB174" s="4"/>
      <c r="AC174" s="4"/>
      <c r="AD174" s="4"/>
      <c r="AE174" s="4"/>
      <c r="AF174" s="4"/>
      <c r="AG174" s="4"/>
      <c r="AH174" s="4"/>
    </row>
    <row r="175" ht="15.75" customHeight="1">
      <c r="A175" s="4"/>
      <c r="B175" s="4"/>
      <c r="C175" s="4"/>
      <c r="D175" s="23"/>
      <c r="E175" s="23"/>
      <c r="F175" s="23"/>
      <c r="G175" s="4"/>
      <c r="H175" s="4"/>
      <c r="I175" s="4"/>
      <c r="J175" s="4"/>
      <c r="K175" s="4"/>
      <c r="L175" s="23"/>
      <c r="M175" s="4"/>
      <c r="N175" s="4"/>
      <c r="O175" s="23"/>
      <c r="P175" s="4"/>
      <c r="Q175" s="4"/>
      <c r="R175" s="4"/>
      <c r="S175" s="4"/>
      <c r="T175" s="4"/>
      <c r="U175" s="4"/>
      <c r="V175" s="4"/>
      <c r="W175" s="4"/>
      <c r="X175" s="4"/>
      <c r="Y175" s="4"/>
      <c r="Z175" s="4"/>
      <c r="AA175" s="4"/>
      <c r="AB175" s="4"/>
      <c r="AC175" s="4"/>
      <c r="AD175" s="4"/>
      <c r="AE175" s="4"/>
      <c r="AF175" s="4"/>
      <c r="AG175" s="4"/>
      <c r="AH175" s="4"/>
    </row>
    <row r="176" ht="15.75" customHeight="1">
      <c r="A176" s="4"/>
      <c r="B176" s="4"/>
      <c r="C176" s="4"/>
      <c r="D176" s="23"/>
      <c r="E176" s="23"/>
      <c r="F176" s="23"/>
      <c r="G176" s="4"/>
      <c r="H176" s="4"/>
      <c r="I176" s="4"/>
      <c r="J176" s="4"/>
      <c r="K176" s="4"/>
      <c r="L176" s="23"/>
      <c r="M176" s="4"/>
      <c r="N176" s="4"/>
      <c r="O176" s="23"/>
      <c r="P176" s="4"/>
      <c r="Q176" s="4"/>
      <c r="R176" s="4"/>
      <c r="S176" s="4"/>
      <c r="T176" s="4"/>
      <c r="U176" s="4"/>
      <c r="V176" s="4"/>
      <c r="W176" s="4"/>
      <c r="X176" s="4"/>
      <c r="Y176" s="4"/>
      <c r="Z176" s="4"/>
      <c r="AA176" s="4"/>
      <c r="AB176" s="4"/>
      <c r="AC176" s="4"/>
      <c r="AD176" s="4"/>
      <c r="AE176" s="4"/>
      <c r="AF176" s="4"/>
      <c r="AG176" s="4"/>
      <c r="AH176" s="4"/>
    </row>
    <row r="177" ht="15.75" customHeight="1">
      <c r="A177" s="4"/>
      <c r="B177" s="4"/>
      <c r="C177" s="4"/>
      <c r="D177" s="23"/>
      <c r="E177" s="23"/>
      <c r="F177" s="23"/>
      <c r="G177" s="4"/>
      <c r="H177" s="4"/>
      <c r="I177" s="4"/>
      <c r="J177" s="4"/>
      <c r="K177" s="4"/>
      <c r="L177" s="23"/>
      <c r="M177" s="4"/>
      <c r="N177" s="4"/>
      <c r="O177" s="23"/>
      <c r="P177" s="4"/>
      <c r="Q177" s="4"/>
      <c r="R177" s="4"/>
      <c r="S177" s="4"/>
      <c r="T177" s="4"/>
      <c r="U177" s="4"/>
      <c r="V177" s="4"/>
      <c r="W177" s="4"/>
      <c r="X177" s="4"/>
      <c r="Y177" s="4"/>
      <c r="Z177" s="4"/>
      <c r="AA177" s="4"/>
      <c r="AB177" s="4"/>
      <c r="AC177" s="4"/>
      <c r="AD177" s="4"/>
      <c r="AE177" s="4"/>
      <c r="AF177" s="4"/>
      <c r="AG177" s="4"/>
      <c r="AH177" s="4"/>
    </row>
    <row r="178" ht="15.75" customHeight="1">
      <c r="A178" s="4"/>
      <c r="B178" s="4"/>
      <c r="C178" s="4"/>
      <c r="D178" s="23"/>
      <c r="E178" s="23"/>
      <c r="F178" s="23"/>
      <c r="G178" s="4"/>
      <c r="H178" s="4"/>
      <c r="I178" s="4"/>
      <c r="J178" s="4"/>
      <c r="K178" s="4"/>
      <c r="L178" s="23"/>
      <c r="M178" s="4"/>
      <c r="N178" s="4"/>
      <c r="O178" s="23"/>
      <c r="P178" s="4"/>
      <c r="Q178" s="4"/>
      <c r="R178" s="4"/>
      <c r="S178" s="4"/>
      <c r="T178" s="4"/>
      <c r="U178" s="4"/>
      <c r="V178" s="4"/>
      <c r="W178" s="4"/>
      <c r="X178" s="4"/>
      <c r="Y178" s="4"/>
      <c r="Z178" s="4"/>
      <c r="AA178" s="4"/>
      <c r="AB178" s="4"/>
      <c r="AC178" s="4"/>
      <c r="AD178" s="4"/>
      <c r="AE178" s="4"/>
      <c r="AF178" s="4"/>
      <c r="AG178" s="4"/>
      <c r="AH178" s="4"/>
    </row>
    <row r="179" ht="15.75" customHeight="1">
      <c r="A179" s="4"/>
      <c r="B179" s="4"/>
      <c r="C179" s="4"/>
      <c r="D179" s="23"/>
      <c r="E179" s="23"/>
      <c r="F179" s="23"/>
      <c r="G179" s="4"/>
      <c r="H179" s="4"/>
      <c r="I179" s="4"/>
      <c r="J179" s="4"/>
      <c r="K179" s="4"/>
      <c r="L179" s="23"/>
      <c r="M179" s="4"/>
      <c r="N179" s="4"/>
      <c r="O179" s="23"/>
      <c r="P179" s="4"/>
      <c r="Q179" s="4"/>
      <c r="R179" s="4"/>
      <c r="S179" s="4"/>
      <c r="T179" s="4"/>
      <c r="U179" s="4"/>
      <c r="V179" s="4"/>
      <c r="W179" s="4"/>
      <c r="X179" s="4"/>
      <c r="Y179" s="4"/>
      <c r="Z179" s="4"/>
      <c r="AA179" s="4"/>
      <c r="AB179" s="4"/>
      <c r="AC179" s="4"/>
      <c r="AD179" s="4"/>
      <c r="AE179" s="4"/>
      <c r="AF179" s="4"/>
      <c r="AG179" s="4"/>
      <c r="AH179" s="4"/>
    </row>
    <row r="180" ht="15.75" customHeight="1">
      <c r="A180" s="4"/>
      <c r="B180" s="4"/>
      <c r="C180" s="4"/>
      <c r="D180" s="23"/>
      <c r="E180" s="23"/>
      <c r="F180" s="23"/>
      <c r="G180" s="4"/>
      <c r="H180" s="4"/>
      <c r="I180" s="4"/>
      <c r="J180" s="4"/>
      <c r="K180" s="4"/>
      <c r="L180" s="23"/>
      <c r="M180" s="4"/>
      <c r="N180" s="4"/>
      <c r="O180" s="23"/>
      <c r="P180" s="4"/>
      <c r="Q180" s="4"/>
      <c r="R180" s="4"/>
      <c r="S180" s="4"/>
      <c r="T180" s="4"/>
      <c r="U180" s="4"/>
      <c r="V180" s="4"/>
      <c r="W180" s="4"/>
      <c r="X180" s="4"/>
      <c r="Y180" s="4"/>
      <c r="Z180" s="4"/>
      <c r="AA180" s="4"/>
      <c r="AB180" s="4"/>
      <c r="AC180" s="4"/>
      <c r="AD180" s="4"/>
      <c r="AE180" s="4"/>
      <c r="AF180" s="4"/>
      <c r="AG180" s="4"/>
      <c r="AH180" s="4"/>
    </row>
    <row r="181" ht="15.75" customHeight="1">
      <c r="A181" s="4"/>
      <c r="B181" s="4"/>
      <c r="C181" s="4"/>
      <c r="D181" s="23"/>
      <c r="E181" s="23"/>
      <c r="F181" s="23"/>
      <c r="G181" s="4"/>
      <c r="H181" s="4"/>
      <c r="I181" s="4"/>
      <c r="J181" s="4"/>
      <c r="K181" s="4"/>
      <c r="L181" s="23"/>
      <c r="M181" s="4"/>
      <c r="N181" s="4"/>
      <c r="O181" s="23"/>
      <c r="P181" s="4"/>
      <c r="Q181" s="4"/>
      <c r="R181" s="4"/>
      <c r="S181" s="4"/>
      <c r="T181" s="4"/>
      <c r="U181" s="4"/>
      <c r="V181" s="4"/>
      <c r="W181" s="4"/>
      <c r="X181" s="4"/>
      <c r="Y181" s="4"/>
      <c r="Z181" s="4"/>
      <c r="AA181" s="4"/>
      <c r="AB181" s="4"/>
      <c r="AC181" s="4"/>
      <c r="AD181" s="4"/>
      <c r="AE181" s="4"/>
      <c r="AF181" s="4"/>
      <c r="AG181" s="4"/>
      <c r="AH181" s="4"/>
    </row>
    <row r="182" ht="15.75" customHeight="1">
      <c r="A182" s="4"/>
      <c r="B182" s="4"/>
      <c r="C182" s="4"/>
      <c r="D182" s="23"/>
      <c r="E182" s="23"/>
      <c r="F182" s="23"/>
      <c r="G182" s="4"/>
      <c r="H182" s="4"/>
      <c r="I182" s="4"/>
      <c r="J182" s="4"/>
      <c r="K182" s="4"/>
      <c r="L182" s="23"/>
      <c r="M182" s="4"/>
      <c r="N182" s="4"/>
      <c r="O182" s="23"/>
      <c r="P182" s="4"/>
      <c r="Q182" s="4"/>
      <c r="R182" s="4"/>
      <c r="S182" s="4"/>
      <c r="T182" s="4"/>
      <c r="U182" s="4"/>
      <c r="V182" s="4"/>
      <c r="W182" s="4"/>
      <c r="X182" s="4"/>
      <c r="Y182" s="4"/>
      <c r="Z182" s="4"/>
      <c r="AA182" s="4"/>
      <c r="AB182" s="4"/>
      <c r="AC182" s="4"/>
      <c r="AD182" s="4"/>
      <c r="AE182" s="4"/>
      <c r="AF182" s="4"/>
      <c r="AG182" s="4"/>
      <c r="AH182" s="4"/>
    </row>
    <row r="183" ht="15.75" customHeight="1">
      <c r="A183" s="4"/>
      <c r="B183" s="4"/>
      <c r="C183" s="4"/>
      <c r="D183" s="23"/>
      <c r="E183" s="23"/>
      <c r="F183" s="23"/>
      <c r="G183" s="4"/>
      <c r="H183" s="4"/>
      <c r="I183" s="4"/>
      <c r="J183" s="4"/>
      <c r="K183" s="4"/>
      <c r="L183" s="23"/>
      <c r="M183" s="4"/>
      <c r="N183" s="4"/>
      <c r="O183" s="23"/>
      <c r="P183" s="4"/>
      <c r="Q183" s="4"/>
      <c r="R183" s="4"/>
      <c r="S183" s="4"/>
      <c r="T183" s="4"/>
      <c r="U183" s="4"/>
      <c r="V183" s="4"/>
      <c r="W183" s="4"/>
      <c r="X183" s="4"/>
      <c r="Y183" s="4"/>
      <c r="Z183" s="4"/>
      <c r="AA183" s="4"/>
      <c r="AB183" s="4"/>
      <c r="AC183" s="4"/>
      <c r="AD183" s="4"/>
      <c r="AE183" s="4"/>
      <c r="AF183" s="4"/>
      <c r="AG183" s="4"/>
      <c r="AH183" s="4"/>
    </row>
    <row r="184" ht="15.75" customHeight="1">
      <c r="A184" s="4"/>
      <c r="B184" s="4"/>
      <c r="C184" s="4"/>
      <c r="D184" s="23"/>
      <c r="E184" s="23"/>
      <c r="F184" s="23"/>
      <c r="G184" s="4"/>
      <c r="H184" s="4"/>
      <c r="I184" s="4"/>
      <c r="J184" s="4"/>
      <c r="K184" s="4"/>
      <c r="L184" s="23"/>
      <c r="M184" s="4"/>
      <c r="N184" s="4"/>
      <c r="O184" s="23"/>
      <c r="P184" s="4"/>
      <c r="Q184" s="4"/>
      <c r="R184" s="4"/>
      <c r="S184" s="4"/>
      <c r="T184" s="4"/>
      <c r="U184" s="4"/>
      <c r="V184" s="4"/>
      <c r="W184" s="4"/>
      <c r="X184" s="4"/>
      <c r="Y184" s="4"/>
      <c r="Z184" s="4"/>
      <c r="AA184" s="4"/>
      <c r="AB184" s="4"/>
      <c r="AC184" s="4"/>
      <c r="AD184" s="4"/>
      <c r="AE184" s="4"/>
      <c r="AF184" s="4"/>
      <c r="AG184" s="4"/>
      <c r="AH184" s="4"/>
    </row>
    <row r="185" ht="15.75" customHeight="1">
      <c r="A185" s="4"/>
      <c r="B185" s="4"/>
      <c r="C185" s="4"/>
      <c r="D185" s="23"/>
      <c r="E185" s="23"/>
      <c r="F185" s="23"/>
      <c r="G185" s="4"/>
      <c r="H185" s="4"/>
      <c r="I185" s="4"/>
      <c r="J185" s="4"/>
      <c r="K185" s="4"/>
      <c r="L185" s="23"/>
      <c r="M185" s="4"/>
      <c r="N185" s="4"/>
      <c r="O185" s="23"/>
      <c r="P185" s="4"/>
      <c r="Q185" s="4"/>
      <c r="R185" s="4"/>
      <c r="S185" s="4"/>
      <c r="T185" s="4"/>
      <c r="U185" s="4"/>
      <c r="V185" s="4"/>
      <c r="W185" s="4"/>
      <c r="X185" s="4"/>
      <c r="Y185" s="4"/>
      <c r="Z185" s="4"/>
      <c r="AA185" s="4"/>
      <c r="AB185" s="4"/>
      <c r="AC185" s="4"/>
      <c r="AD185" s="4"/>
      <c r="AE185" s="4"/>
      <c r="AF185" s="4"/>
      <c r="AG185" s="4"/>
      <c r="AH185" s="4"/>
    </row>
    <row r="186" ht="15.75" customHeight="1">
      <c r="A186" s="4"/>
      <c r="B186" s="4"/>
      <c r="C186" s="4"/>
      <c r="D186" s="23"/>
      <c r="E186" s="23"/>
      <c r="F186" s="23"/>
      <c r="G186" s="4"/>
      <c r="H186" s="4"/>
      <c r="I186" s="4"/>
      <c r="J186" s="4"/>
      <c r="K186" s="4"/>
      <c r="L186" s="23"/>
      <c r="M186" s="4"/>
      <c r="N186" s="4"/>
      <c r="O186" s="23"/>
      <c r="P186" s="4"/>
      <c r="Q186" s="4"/>
      <c r="R186" s="4"/>
      <c r="S186" s="4"/>
      <c r="T186" s="4"/>
      <c r="U186" s="4"/>
      <c r="V186" s="4"/>
      <c r="W186" s="4"/>
      <c r="X186" s="4"/>
      <c r="Y186" s="4"/>
      <c r="Z186" s="4"/>
      <c r="AA186" s="4"/>
      <c r="AB186" s="4"/>
      <c r="AC186" s="4"/>
      <c r="AD186" s="4"/>
      <c r="AE186" s="4"/>
      <c r="AF186" s="4"/>
      <c r="AG186" s="4"/>
      <c r="AH186" s="4"/>
    </row>
    <row r="187" ht="15.75" customHeight="1">
      <c r="A187" s="4"/>
      <c r="B187" s="4"/>
      <c r="C187" s="4"/>
      <c r="D187" s="23"/>
      <c r="E187" s="23"/>
      <c r="F187" s="23"/>
      <c r="G187" s="4"/>
      <c r="H187" s="4"/>
      <c r="I187" s="4"/>
      <c r="J187" s="4"/>
      <c r="K187" s="4"/>
      <c r="L187" s="23"/>
      <c r="M187" s="4"/>
      <c r="N187" s="4"/>
      <c r="O187" s="23"/>
      <c r="P187" s="4"/>
      <c r="Q187" s="4"/>
      <c r="R187" s="4"/>
      <c r="S187" s="4"/>
      <c r="T187" s="4"/>
      <c r="U187" s="4"/>
      <c r="V187" s="4"/>
      <c r="W187" s="4"/>
      <c r="X187" s="4"/>
      <c r="Y187" s="4"/>
      <c r="Z187" s="4"/>
      <c r="AA187" s="4"/>
      <c r="AB187" s="4"/>
      <c r="AC187" s="4"/>
      <c r="AD187" s="4"/>
      <c r="AE187" s="4"/>
      <c r="AF187" s="4"/>
      <c r="AG187" s="4"/>
      <c r="AH187" s="4"/>
    </row>
    <row r="188" ht="15.75" customHeight="1">
      <c r="A188" s="4"/>
      <c r="B188" s="4"/>
      <c r="C188" s="4"/>
      <c r="D188" s="23"/>
      <c r="E188" s="23"/>
      <c r="F188" s="23"/>
      <c r="G188" s="4"/>
      <c r="H188" s="4"/>
      <c r="I188" s="4"/>
      <c r="J188" s="4"/>
      <c r="K188" s="4"/>
      <c r="L188" s="23"/>
      <c r="M188" s="4"/>
      <c r="N188" s="4"/>
      <c r="O188" s="23"/>
      <c r="P188" s="4"/>
      <c r="Q188" s="4"/>
      <c r="R188" s="4"/>
      <c r="S188" s="4"/>
      <c r="T188" s="4"/>
      <c r="U188" s="4"/>
      <c r="V188" s="4"/>
      <c r="W188" s="4"/>
      <c r="X188" s="4"/>
      <c r="Y188" s="4"/>
      <c r="Z188" s="4"/>
      <c r="AA188" s="4"/>
      <c r="AB188" s="4"/>
      <c r="AC188" s="4"/>
      <c r="AD188" s="4"/>
      <c r="AE188" s="4"/>
      <c r="AF188" s="4"/>
      <c r="AG188" s="4"/>
      <c r="AH188" s="4"/>
    </row>
    <row r="189" ht="15.75" customHeight="1">
      <c r="A189" s="4"/>
      <c r="B189" s="4"/>
      <c r="C189" s="4"/>
      <c r="D189" s="23"/>
      <c r="E189" s="23"/>
      <c r="F189" s="23"/>
      <c r="G189" s="4"/>
      <c r="H189" s="4"/>
      <c r="I189" s="4"/>
      <c r="J189" s="4"/>
      <c r="K189" s="4"/>
      <c r="L189" s="23"/>
      <c r="M189" s="4"/>
      <c r="N189" s="4"/>
      <c r="O189" s="23"/>
      <c r="P189" s="4"/>
      <c r="Q189" s="4"/>
      <c r="R189" s="4"/>
      <c r="S189" s="4"/>
      <c r="T189" s="4"/>
      <c r="U189" s="4"/>
      <c r="V189" s="4"/>
      <c r="W189" s="4"/>
      <c r="X189" s="4"/>
      <c r="Y189" s="4"/>
      <c r="Z189" s="4"/>
      <c r="AA189" s="4"/>
      <c r="AB189" s="4"/>
      <c r="AC189" s="4"/>
      <c r="AD189" s="4"/>
      <c r="AE189" s="4"/>
      <c r="AF189" s="4"/>
      <c r="AG189" s="4"/>
      <c r="AH189" s="4"/>
    </row>
    <row r="190" ht="15.75" customHeight="1">
      <c r="A190" s="4"/>
      <c r="B190" s="4"/>
      <c r="C190" s="4"/>
      <c r="D190" s="23"/>
      <c r="E190" s="23"/>
      <c r="F190" s="23"/>
      <c r="G190" s="4"/>
      <c r="H190" s="4"/>
      <c r="I190" s="4"/>
      <c r="J190" s="4"/>
      <c r="K190" s="4"/>
      <c r="L190" s="23"/>
      <c r="M190" s="4"/>
      <c r="N190" s="4"/>
      <c r="O190" s="23"/>
      <c r="P190" s="4"/>
      <c r="Q190" s="4"/>
      <c r="R190" s="4"/>
      <c r="S190" s="4"/>
      <c r="T190" s="4"/>
      <c r="U190" s="4"/>
      <c r="V190" s="4"/>
      <c r="W190" s="4"/>
      <c r="X190" s="4"/>
      <c r="Y190" s="4"/>
      <c r="Z190" s="4"/>
      <c r="AA190" s="4"/>
      <c r="AB190" s="4"/>
      <c r="AC190" s="4"/>
      <c r="AD190" s="4"/>
      <c r="AE190" s="4"/>
      <c r="AF190" s="4"/>
      <c r="AG190" s="4"/>
      <c r="AH190" s="4"/>
    </row>
    <row r="191" ht="15.75" customHeight="1">
      <c r="A191" s="4"/>
      <c r="B191" s="4"/>
      <c r="C191" s="4"/>
      <c r="D191" s="23"/>
      <c r="E191" s="23"/>
      <c r="F191" s="23"/>
      <c r="G191" s="4"/>
      <c r="H191" s="4"/>
      <c r="I191" s="4"/>
      <c r="J191" s="4"/>
      <c r="K191" s="4"/>
      <c r="L191" s="23"/>
      <c r="M191" s="4"/>
      <c r="N191" s="4"/>
      <c r="O191" s="23"/>
      <c r="P191" s="4"/>
      <c r="Q191" s="4"/>
      <c r="R191" s="4"/>
      <c r="S191" s="4"/>
      <c r="T191" s="4"/>
      <c r="U191" s="4"/>
      <c r="V191" s="4"/>
      <c r="W191" s="4"/>
      <c r="X191" s="4"/>
      <c r="Y191" s="4"/>
      <c r="Z191" s="4"/>
      <c r="AA191" s="4"/>
      <c r="AB191" s="4"/>
      <c r="AC191" s="4"/>
      <c r="AD191" s="4"/>
      <c r="AE191" s="4"/>
      <c r="AF191" s="4"/>
      <c r="AG191" s="4"/>
      <c r="AH191" s="4"/>
    </row>
    <row r="192" ht="15.75" customHeight="1">
      <c r="A192" s="4"/>
      <c r="B192" s="4"/>
      <c r="C192" s="4"/>
      <c r="D192" s="23"/>
      <c r="E192" s="23"/>
      <c r="F192" s="23"/>
      <c r="G192" s="4"/>
      <c r="H192" s="4"/>
      <c r="I192" s="4"/>
      <c r="J192" s="4"/>
      <c r="K192" s="4"/>
      <c r="L192" s="23"/>
      <c r="M192" s="4"/>
      <c r="N192" s="4"/>
      <c r="O192" s="23"/>
      <c r="P192" s="4"/>
      <c r="Q192" s="4"/>
      <c r="R192" s="4"/>
      <c r="S192" s="4"/>
      <c r="T192" s="4"/>
      <c r="U192" s="4"/>
      <c r="V192" s="4"/>
      <c r="W192" s="4"/>
      <c r="X192" s="4"/>
      <c r="Y192" s="4"/>
      <c r="Z192" s="4"/>
      <c r="AA192" s="4"/>
      <c r="AB192" s="4"/>
      <c r="AC192" s="4"/>
      <c r="AD192" s="4"/>
      <c r="AE192" s="4"/>
      <c r="AF192" s="4"/>
      <c r="AG192" s="4"/>
      <c r="AH192" s="4"/>
    </row>
    <row r="193" ht="15.75" customHeight="1">
      <c r="A193" s="4"/>
      <c r="B193" s="4"/>
      <c r="C193" s="4"/>
      <c r="D193" s="23"/>
      <c r="E193" s="23"/>
      <c r="F193" s="23"/>
      <c r="G193" s="4"/>
      <c r="H193" s="4"/>
      <c r="I193" s="4"/>
      <c r="J193" s="4"/>
      <c r="K193" s="4"/>
      <c r="L193" s="23"/>
      <c r="M193" s="4"/>
      <c r="N193" s="4"/>
      <c r="O193" s="23"/>
      <c r="P193" s="4"/>
      <c r="Q193" s="4"/>
      <c r="R193" s="4"/>
      <c r="S193" s="4"/>
      <c r="T193" s="4"/>
      <c r="U193" s="4"/>
      <c r="V193" s="4"/>
      <c r="W193" s="4"/>
      <c r="X193" s="4"/>
      <c r="Y193" s="4"/>
      <c r="Z193" s="4"/>
      <c r="AA193" s="4"/>
      <c r="AB193" s="4"/>
      <c r="AC193" s="4"/>
      <c r="AD193" s="4"/>
      <c r="AE193" s="4"/>
      <c r="AF193" s="4"/>
      <c r="AG193" s="4"/>
      <c r="AH193" s="4"/>
    </row>
    <row r="194" ht="15.75" customHeight="1">
      <c r="A194" s="4"/>
      <c r="B194" s="4"/>
      <c r="C194" s="4"/>
      <c r="D194" s="23"/>
      <c r="E194" s="23"/>
      <c r="F194" s="23"/>
      <c r="G194" s="4"/>
      <c r="H194" s="4"/>
      <c r="I194" s="4"/>
      <c r="J194" s="4"/>
      <c r="K194" s="4"/>
      <c r="L194" s="23"/>
      <c r="M194" s="4"/>
      <c r="N194" s="4"/>
      <c r="O194" s="23"/>
      <c r="P194" s="4"/>
      <c r="Q194" s="4"/>
      <c r="R194" s="4"/>
      <c r="S194" s="4"/>
      <c r="T194" s="4"/>
      <c r="U194" s="4"/>
      <c r="V194" s="4"/>
      <c r="W194" s="4"/>
      <c r="X194" s="4"/>
      <c r="Y194" s="4"/>
      <c r="Z194" s="4"/>
      <c r="AA194" s="4"/>
      <c r="AB194" s="4"/>
      <c r="AC194" s="4"/>
      <c r="AD194" s="4"/>
      <c r="AE194" s="4"/>
      <c r="AF194" s="4"/>
      <c r="AG194" s="4"/>
      <c r="AH194" s="4"/>
    </row>
    <row r="195" ht="15.75" customHeight="1">
      <c r="A195" s="4"/>
      <c r="B195" s="4"/>
      <c r="C195" s="4"/>
      <c r="D195" s="23"/>
      <c r="E195" s="23"/>
      <c r="F195" s="23"/>
      <c r="G195" s="4"/>
      <c r="H195" s="4"/>
      <c r="I195" s="4"/>
      <c r="J195" s="4"/>
      <c r="K195" s="4"/>
      <c r="L195" s="23"/>
      <c r="M195" s="4"/>
      <c r="N195" s="4"/>
      <c r="O195" s="23"/>
      <c r="P195" s="4"/>
      <c r="Q195" s="4"/>
      <c r="R195" s="4"/>
      <c r="S195" s="4"/>
      <c r="T195" s="4"/>
      <c r="U195" s="4"/>
      <c r="V195" s="4"/>
      <c r="W195" s="4"/>
      <c r="X195" s="4"/>
      <c r="Y195" s="4"/>
      <c r="Z195" s="4"/>
      <c r="AA195" s="4"/>
      <c r="AB195" s="4"/>
      <c r="AC195" s="4"/>
      <c r="AD195" s="4"/>
      <c r="AE195" s="4"/>
      <c r="AF195" s="4"/>
      <c r="AG195" s="4"/>
      <c r="AH195" s="4"/>
    </row>
    <row r="196" ht="15.75" customHeight="1">
      <c r="A196" s="4"/>
      <c r="B196" s="4"/>
      <c r="C196" s="4"/>
      <c r="D196" s="23"/>
      <c r="E196" s="23"/>
      <c r="F196" s="23"/>
      <c r="G196" s="4"/>
      <c r="H196" s="4"/>
      <c r="I196" s="4"/>
      <c r="J196" s="4"/>
      <c r="K196" s="4"/>
      <c r="L196" s="23"/>
      <c r="M196" s="4"/>
      <c r="N196" s="4"/>
      <c r="O196" s="23"/>
      <c r="P196" s="4"/>
      <c r="Q196" s="4"/>
      <c r="R196" s="4"/>
      <c r="S196" s="4"/>
      <c r="T196" s="4"/>
      <c r="U196" s="4"/>
      <c r="V196" s="4"/>
      <c r="W196" s="4"/>
      <c r="X196" s="4"/>
      <c r="Y196" s="4"/>
      <c r="Z196" s="4"/>
      <c r="AA196" s="4"/>
      <c r="AB196" s="4"/>
      <c r="AC196" s="4"/>
      <c r="AD196" s="4"/>
      <c r="AE196" s="4"/>
      <c r="AF196" s="4"/>
      <c r="AG196" s="4"/>
      <c r="AH196" s="4"/>
    </row>
    <row r="197" ht="15.75" customHeight="1">
      <c r="A197" s="4"/>
      <c r="B197" s="4"/>
      <c r="C197" s="4"/>
      <c r="D197" s="23"/>
      <c r="E197" s="23"/>
      <c r="F197" s="23"/>
      <c r="G197" s="4"/>
      <c r="H197" s="4"/>
      <c r="I197" s="4"/>
      <c r="J197" s="4"/>
      <c r="K197" s="4"/>
      <c r="L197" s="23"/>
      <c r="M197" s="4"/>
      <c r="N197" s="4"/>
      <c r="O197" s="23"/>
      <c r="P197" s="4"/>
      <c r="Q197" s="4"/>
      <c r="R197" s="4"/>
      <c r="S197" s="4"/>
      <c r="T197" s="4"/>
      <c r="U197" s="4"/>
      <c r="V197" s="4"/>
      <c r="W197" s="4"/>
      <c r="X197" s="4"/>
      <c r="Y197" s="4"/>
      <c r="Z197" s="4"/>
      <c r="AA197" s="4"/>
      <c r="AB197" s="4"/>
      <c r="AC197" s="4"/>
      <c r="AD197" s="4"/>
      <c r="AE197" s="4"/>
      <c r="AF197" s="4"/>
      <c r="AG197" s="4"/>
      <c r="AH197" s="4"/>
    </row>
    <row r="198" ht="15.75" customHeight="1">
      <c r="A198" s="4"/>
      <c r="B198" s="4"/>
      <c r="C198" s="4"/>
      <c r="D198" s="23"/>
      <c r="E198" s="23"/>
      <c r="F198" s="23"/>
      <c r="G198" s="4"/>
      <c r="H198" s="4"/>
      <c r="I198" s="4"/>
      <c r="J198" s="4"/>
      <c r="K198" s="4"/>
      <c r="L198" s="23"/>
      <c r="M198" s="4"/>
      <c r="N198" s="4"/>
      <c r="O198" s="23"/>
      <c r="P198" s="4"/>
      <c r="Q198" s="4"/>
      <c r="R198" s="4"/>
      <c r="S198" s="4"/>
      <c r="T198" s="4"/>
      <c r="U198" s="4"/>
      <c r="V198" s="4"/>
      <c r="W198" s="4"/>
      <c r="X198" s="4"/>
      <c r="Y198" s="4"/>
      <c r="Z198" s="4"/>
      <c r="AA198" s="4"/>
      <c r="AB198" s="4"/>
      <c r="AC198" s="4"/>
      <c r="AD198" s="4"/>
      <c r="AE198" s="4"/>
      <c r="AF198" s="4"/>
      <c r="AG198" s="4"/>
      <c r="AH198" s="4"/>
    </row>
    <row r="199" ht="15.75" customHeight="1">
      <c r="A199" s="4"/>
      <c r="B199" s="4"/>
      <c r="C199" s="4"/>
      <c r="D199" s="23"/>
      <c r="E199" s="23"/>
      <c r="F199" s="23"/>
      <c r="G199" s="4"/>
      <c r="H199" s="4"/>
      <c r="I199" s="4"/>
      <c r="J199" s="4"/>
      <c r="K199" s="4"/>
      <c r="L199" s="23"/>
      <c r="M199" s="4"/>
      <c r="N199" s="4"/>
      <c r="O199" s="23"/>
      <c r="P199" s="4"/>
      <c r="Q199" s="4"/>
      <c r="R199" s="4"/>
      <c r="S199" s="4"/>
      <c r="T199" s="4"/>
      <c r="U199" s="4"/>
      <c r="V199" s="4"/>
      <c r="W199" s="4"/>
      <c r="X199" s="4"/>
      <c r="Y199" s="4"/>
      <c r="Z199" s="4"/>
      <c r="AA199" s="4"/>
      <c r="AB199" s="4"/>
      <c r="AC199" s="4"/>
      <c r="AD199" s="4"/>
      <c r="AE199" s="4"/>
      <c r="AF199" s="4"/>
      <c r="AG199" s="4"/>
      <c r="AH199" s="4"/>
    </row>
    <row r="200" ht="15.75" customHeight="1">
      <c r="A200" s="4"/>
      <c r="B200" s="4"/>
      <c r="C200" s="4"/>
      <c r="D200" s="23"/>
      <c r="E200" s="23"/>
      <c r="F200" s="23"/>
      <c r="G200" s="4"/>
      <c r="H200" s="4"/>
      <c r="I200" s="4"/>
      <c r="J200" s="4"/>
      <c r="K200" s="4"/>
      <c r="L200" s="23"/>
      <c r="M200" s="4"/>
      <c r="N200" s="4"/>
      <c r="O200" s="23"/>
      <c r="P200" s="4"/>
      <c r="Q200" s="4"/>
      <c r="R200" s="4"/>
      <c r="S200" s="4"/>
      <c r="T200" s="4"/>
      <c r="U200" s="4"/>
      <c r="V200" s="4"/>
      <c r="W200" s="4"/>
      <c r="X200" s="4"/>
      <c r="Y200" s="4"/>
      <c r="Z200" s="4"/>
      <c r="AA200" s="4"/>
      <c r="AB200" s="4"/>
      <c r="AC200" s="4"/>
      <c r="AD200" s="4"/>
      <c r="AE200" s="4"/>
      <c r="AF200" s="4"/>
      <c r="AG200" s="4"/>
      <c r="AH200" s="4"/>
    </row>
    <row r="201" ht="15.75" customHeight="1">
      <c r="A201" s="4"/>
      <c r="B201" s="4"/>
      <c r="C201" s="4"/>
      <c r="D201" s="23"/>
      <c r="E201" s="23"/>
      <c r="F201" s="23"/>
      <c r="G201" s="4"/>
      <c r="H201" s="4"/>
      <c r="I201" s="4"/>
      <c r="J201" s="4"/>
      <c r="K201" s="4"/>
      <c r="L201" s="23"/>
      <c r="M201" s="4"/>
      <c r="N201" s="4"/>
      <c r="O201" s="23"/>
      <c r="P201" s="4"/>
      <c r="Q201" s="4"/>
      <c r="R201" s="4"/>
      <c r="S201" s="4"/>
      <c r="T201" s="4"/>
      <c r="U201" s="4"/>
      <c r="V201" s="4"/>
      <c r="W201" s="4"/>
      <c r="X201" s="4"/>
      <c r="Y201" s="4"/>
      <c r="Z201" s="4"/>
      <c r="AA201" s="4"/>
      <c r="AB201" s="4"/>
      <c r="AC201" s="4"/>
      <c r="AD201" s="4"/>
      <c r="AE201" s="4"/>
      <c r="AF201" s="4"/>
      <c r="AG201" s="4"/>
      <c r="AH201" s="4"/>
    </row>
    <row r="202" ht="15.75" customHeight="1">
      <c r="A202" s="4"/>
      <c r="B202" s="4"/>
      <c r="C202" s="4"/>
      <c r="D202" s="23"/>
      <c r="E202" s="23"/>
      <c r="F202" s="23"/>
      <c r="G202" s="4"/>
      <c r="H202" s="4"/>
      <c r="I202" s="4"/>
      <c r="J202" s="4"/>
      <c r="K202" s="4"/>
      <c r="L202" s="23"/>
      <c r="M202" s="4"/>
      <c r="N202" s="4"/>
      <c r="O202" s="23"/>
      <c r="P202" s="4"/>
      <c r="Q202" s="4"/>
      <c r="R202" s="4"/>
      <c r="S202" s="4"/>
      <c r="T202" s="4"/>
      <c r="U202" s="4"/>
      <c r="V202" s="4"/>
      <c r="W202" s="4"/>
      <c r="X202" s="4"/>
      <c r="Y202" s="4"/>
      <c r="Z202" s="4"/>
      <c r="AA202" s="4"/>
      <c r="AB202" s="4"/>
      <c r="AC202" s="4"/>
      <c r="AD202" s="4"/>
      <c r="AE202" s="4"/>
      <c r="AF202" s="4"/>
      <c r="AG202" s="4"/>
      <c r="AH202" s="4"/>
    </row>
    <row r="203" ht="15.75" customHeight="1">
      <c r="A203" s="4"/>
      <c r="B203" s="4"/>
      <c r="C203" s="4"/>
      <c r="D203" s="23"/>
      <c r="E203" s="23"/>
      <c r="F203" s="23"/>
      <c r="G203" s="4"/>
      <c r="H203" s="4"/>
      <c r="I203" s="4"/>
      <c r="J203" s="4"/>
      <c r="K203" s="4"/>
      <c r="L203" s="23"/>
      <c r="M203" s="4"/>
      <c r="N203" s="4"/>
      <c r="O203" s="23"/>
      <c r="P203" s="4"/>
      <c r="Q203" s="4"/>
      <c r="R203" s="4"/>
      <c r="S203" s="4"/>
      <c r="T203" s="4"/>
      <c r="U203" s="4"/>
      <c r="V203" s="4"/>
      <c r="W203" s="4"/>
      <c r="X203" s="4"/>
      <c r="Y203" s="4"/>
      <c r="Z203" s="4"/>
      <c r="AA203" s="4"/>
      <c r="AB203" s="4"/>
      <c r="AC203" s="4"/>
      <c r="AD203" s="4"/>
      <c r="AE203" s="4"/>
      <c r="AF203" s="4"/>
      <c r="AG203" s="4"/>
      <c r="AH203" s="4"/>
    </row>
    <row r="204" ht="15.75" customHeight="1">
      <c r="A204" s="4"/>
      <c r="B204" s="4"/>
      <c r="C204" s="4"/>
      <c r="D204" s="23"/>
      <c r="E204" s="23"/>
      <c r="F204" s="23"/>
      <c r="G204" s="4"/>
      <c r="H204" s="4"/>
      <c r="I204" s="4"/>
      <c r="J204" s="4"/>
      <c r="K204" s="4"/>
      <c r="L204" s="23"/>
      <c r="M204" s="4"/>
      <c r="N204" s="4"/>
      <c r="O204" s="23"/>
      <c r="P204" s="4"/>
      <c r="Q204" s="4"/>
      <c r="R204" s="4"/>
      <c r="S204" s="4"/>
      <c r="T204" s="4"/>
      <c r="U204" s="4"/>
      <c r="V204" s="4"/>
      <c r="W204" s="4"/>
      <c r="X204" s="4"/>
      <c r="Y204" s="4"/>
      <c r="Z204" s="4"/>
      <c r="AA204" s="4"/>
      <c r="AB204" s="4"/>
      <c r="AC204" s="4"/>
      <c r="AD204" s="4"/>
      <c r="AE204" s="4"/>
      <c r="AF204" s="4"/>
      <c r="AG204" s="4"/>
      <c r="AH204" s="4"/>
    </row>
    <row r="205" ht="15.75" customHeight="1">
      <c r="A205" s="4"/>
      <c r="B205" s="4"/>
      <c r="C205" s="4"/>
      <c r="D205" s="23"/>
      <c r="E205" s="23"/>
      <c r="F205" s="23"/>
      <c r="G205" s="4"/>
      <c r="H205" s="4"/>
      <c r="I205" s="4"/>
      <c r="J205" s="4"/>
      <c r="K205" s="4"/>
      <c r="L205" s="23"/>
      <c r="M205" s="4"/>
      <c r="N205" s="4"/>
      <c r="O205" s="23"/>
      <c r="P205" s="4"/>
      <c r="Q205" s="4"/>
      <c r="R205" s="4"/>
      <c r="S205" s="4"/>
      <c r="T205" s="4"/>
      <c r="U205" s="4"/>
      <c r="V205" s="4"/>
      <c r="W205" s="4"/>
      <c r="X205" s="4"/>
      <c r="Y205" s="4"/>
      <c r="Z205" s="4"/>
      <c r="AA205" s="4"/>
      <c r="AB205" s="4"/>
      <c r="AC205" s="4"/>
      <c r="AD205" s="4"/>
      <c r="AE205" s="4"/>
      <c r="AF205" s="4"/>
      <c r="AG205" s="4"/>
      <c r="AH205" s="4"/>
    </row>
    <row r="206" ht="15.75" customHeight="1">
      <c r="A206" s="4"/>
      <c r="B206" s="4"/>
      <c r="C206" s="4"/>
      <c r="D206" s="23"/>
      <c r="E206" s="23"/>
      <c r="F206" s="23"/>
      <c r="G206" s="4"/>
      <c r="H206" s="4"/>
      <c r="I206" s="4"/>
      <c r="J206" s="4"/>
      <c r="K206" s="4"/>
      <c r="L206" s="23"/>
      <c r="M206" s="4"/>
      <c r="N206" s="4"/>
      <c r="O206" s="23"/>
      <c r="P206" s="4"/>
      <c r="Q206" s="4"/>
      <c r="R206" s="4"/>
      <c r="S206" s="4"/>
      <c r="T206" s="4"/>
      <c r="U206" s="4"/>
      <c r="V206" s="4"/>
      <c r="W206" s="4"/>
      <c r="X206" s="4"/>
      <c r="Y206" s="4"/>
      <c r="Z206" s="4"/>
      <c r="AA206" s="4"/>
      <c r="AB206" s="4"/>
      <c r="AC206" s="4"/>
      <c r="AD206" s="4"/>
      <c r="AE206" s="4"/>
      <c r="AF206" s="4"/>
      <c r="AG206" s="4"/>
      <c r="AH206" s="4"/>
    </row>
    <row r="207" ht="15.75" customHeight="1">
      <c r="A207" s="4"/>
      <c r="B207" s="4"/>
      <c r="C207" s="4"/>
      <c r="D207" s="23"/>
      <c r="E207" s="23"/>
      <c r="F207" s="23"/>
      <c r="G207" s="4"/>
      <c r="H207" s="4"/>
      <c r="I207" s="4"/>
      <c r="J207" s="4"/>
      <c r="K207" s="4"/>
      <c r="L207" s="23"/>
      <c r="M207" s="4"/>
      <c r="N207" s="4"/>
      <c r="O207" s="23"/>
      <c r="P207" s="4"/>
      <c r="Q207" s="4"/>
      <c r="R207" s="4"/>
      <c r="S207" s="4"/>
      <c r="T207" s="4"/>
      <c r="U207" s="4"/>
      <c r="V207" s="4"/>
      <c r="W207" s="4"/>
      <c r="X207" s="4"/>
      <c r="Y207" s="4"/>
      <c r="Z207" s="4"/>
      <c r="AA207" s="4"/>
      <c r="AB207" s="4"/>
      <c r="AC207" s="4"/>
      <c r="AD207" s="4"/>
      <c r="AE207" s="4"/>
      <c r="AF207" s="4"/>
      <c r="AG207" s="4"/>
      <c r="AH207" s="4"/>
    </row>
    <row r="208" ht="15.75" customHeight="1">
      <c r="A208" s="4"/>
      <c r="B208" s="4"/>
      <c r="C208" s="4"/>
      <c r="D208" s="23"/>
      <c r="E208" s="23"/>
      <c r="F208" s="23"/>
      <c r="G208" s="4"/>
      <c r="H208" s="4"/>
      <c r="I208" s="4"/>
      <c r="J208" s="4"/>
      <c r="K208" s="4"/>
      <c r="L208" s="23"/>
      <c r="M208" s="4"/>
      <c r="N208" s="4"/>
      <c r="O208" s="23"/>
      <c r="P208" s="4"/>
      <c r="Q208" s="4"/>
      <c r="R208" s="4"/>
      <c r="S208" s="4"/>
      <c r="T208" s="4"/>
      <c r="U208" s="4"/>
      <c r="V208" s="4"/>
      <c r="W208" s="4"/>
      <c r="X208" s="4"/>
      <c r="Y208" s="4"/>
      <c r="Z208" s="4"/>
      <c r="AA208" s="4"/>
      <c r="AB208" s="4"/>
      <c r="AC208" s="4"/>
      <c r="AD208" s="4"/>
      <c r="AE208" s="4"/>
      <c r="AF208" s="4"/>
      <c r="AG208" s="4"/>
      <c r="AH208" s="4"/>
    </row>
    <row r="209" ht="15.75" customHeight="1">
      <c r="A209" s="4"/>
      <c r="B209" s="4"/>
      <c r="C209" s="4"/>
      <c r="D209" s="23"/>
      <c r="E209" s="23"/>
      <c r="F209" s="23"/>
      <c r="G209" s="4"/>
      <c r="H209" s="4"/>
      <c r="I209" s="4"/>
      <c r="J209" s="4"/>
      <c r="K209" s="4"/>
      <c r="L209" s="23"/>
      <c r="M209" s="4"/>
      <c r="N209" s="4"/>
      <c r="O209" s="23"/>
      <c r="P209" s="4"/>
      <c r="Q209" s="4"/>
      <c r="R209" s="4"/>
      <c r="S209" s="4"/>
      <c r="T209" s="4"/>
      <c r="U209" s="4"/>
      <c r="V209" s="4"/>
      <c r="W209" s="4"/>
      <c r="X209" s="4"/>
      <c r="Y209" s="4"/>
      <c r="Z209" s="4"/>
      <c r="AA209" s="4"/>
      <c r="AB209" s="4"/>
      <c r="AC209" s="4"/>
      <c r="AD209" s="4"/>
      <c r="AE209" s="4"/>
      <c r="AF209" s="4"/>
      <c r="AG209" s="4"/>
      <c r="AH209" s="4"/>
    </row>
    <row r="210" ht="15.75" customHeight="1">
      <c r="A210" s="4"/>
      <c r="B210" s="4"/>
      <c r="C210" s="4"/>
      <c r="D210" s="23"/>
      <c r="E210" s="23"/>
      <c r="F210" s="23"/>
      <c r="G210" s="4"/>
      <c r="H210" s="4"/>
      <c r="I210" s="4"/>
      <c r="J210" s="4"/>
      <c r="K210" s="4"/>
      <c r="L210" s="23"/>
      <c r="M210" s="4"/>
      <c r="N210" s="4"/>
      <c r="O210" s="23"/>
      <c r="P210" s="4"/>
      <c r="Q210" s="4"/>
      <c r="R210" s="4"/>
      <c r="S210" s="4"/>
      <c r="T210" s="4"/>
      <c r="U210" s="4"/>
      <c r="V210" s="4"/>
      <c r="W210" s="4"/>
      <c r="X210" s="4"/>
      <c r="Y210" s="4"/>
      <c r="Z210" s="4"/>
      <c r="AA210" s="4"/>
      <c r="AB210" s="4"/>
      <c r="AC210" s="4"/>
      <c r="AD210" s="4"/>
      <c r="AE210" s="4"/>
      <c r="AF210" s="4"/>
      <c r="AG210" s="4"/>
      <c r="AH210" s="4"/>
    </row>
    <row r="211" ht="15.75" customHeight="1">
      <c r="A211" s="4"/>
      <c r="B211" s="4"/>
      <c r="C211" s="4"/>
      <c r="D211" s="23"/>
      <c r="E211" s="23"/>
      <c r="F211" s="23"/>
      <c r="G211" s="4"/>
      <c r="H211" s="4"/>
      <c r="I211" s="4"/>
      <c r="J211" s="4"/>
      <c r="K211" s="4"/>
      <c r="L211" s="23"/>
      <c r="M211" s="4"/>
      <c r="N211" s="4"/>
      <c r="O211" s="23"/>
      <c r="P211" s="4"/>
      <c r="Q211" s="4"/>
      <c r="R211" s="4"/>
      <c r="S211" s="4"/>
      <c r="T211" s="4"/>
      <c r="U211" s="4"/>
      <c r="V211" s="4"/>
      <c r="W211" s="4"/>
      <c r="X211" s="4"/>
      <c r="Y211" s="4"/>
      <c r="Z211" s="4"/>
      <c r="AA211" s="4"/>
      <c r="AB211" s="4"/>
      <c r="AC211" s="4"/>
      <c r="AD211" s="4"/>
      <c r="AE211" s="4"/>
      <c r="AF211" s="4"/>
      <c r="AG211" s="4"/>
      <c r="AH211" s="4"/>
    </row>
    <row r="212" ht="15.75" customHeight="1">
      <c r="A212" s="4"/>
      <c r="B212" s="4"/>
      <c r="C212" s="4"/>
      <c r="D212" s="23"/>
      <c r="E212" s="23"/>
      <c r="F212" s="23"/>
      <c r="G212" s="4"/>
      <c r="H212" s="4"/>
      <c r="I212" s="4"/>
      <c r="J212" s="4"/>
      <c r="K212" s="4"/>
      <c r="L212" s="23"/>
      <c r="M212" s="4"/>
      <c r="N212" s="4"/>
      <c r="O212" s="23"/>
      <c r="P212" s="4"/>
      <c r="Q212" s="4"/>
      <c r="R212" s="4"/>
      <c r="S212" s="4"/>
      <c r="T212" s="4"/>
      <c r="U212" s="4"/>
      <c r="V212" s="4"/>
      <c r="W212" s="4"/>
      <c r="X212" s="4"/>
      <c r="Y212" s="4"/>
      <c r="Z212" s="4"/>
      <c r="AA212" s="4"/>
      <c r="AB212" s="4"/>
      <c r="AC212" s="4"/>
      <c r="AD212" s="4"/>
      <c r="AE212" s="4"/>
      <c r="AF212" s="4"/>
      <c r="AG212" s="4"/>
      <c r="AH212" s="4"/>
    </row>
    <row r="213" ht="15.75" customHeight="1">
      <c r="A213" s="4"/>
      <c r="B213" s="4"/>
      <c r="C213" s="4"/>
      <c r="D213" s="23"/>
      <c r="E213" s="23"/>
      <c r="F213" s="23"/>
      <c r="G213" s="4"/>
      <c r="H213" s="4"/>
      <c r="I213" s="4"/>
      <c r="J213" s="4"/>
      <c r="K213" s="4"/>
      <c r="L213" s="23"/>
      <c r="M213" s="4"/>
      <c r="N213" s="4"/>
      <c r="O213" s="23"/>
      <c r="P213" s="4"/>
      <c r="Q213" s="4"/>
      <c r="R213" s="4"/>
      <c r="S213" s="4"/>
      <c r="T213" s="4"/>
      <c r="U213" s="4"/>
      <c r="V213" s="4"/>
      <c r="W213" s="4"/>
      <c r="X213" s="4"/>
      <c r="Y213" s="4"/>
      <c r="Z213" s="4"/>
      <c r="AA213" s="4"/>
      <c r="AB213" s="4"/>
      <c r="AC213" s="4"/>
      <c r="AD213" s="4"/>
      <c r="AE213" s="4"/>
      <c r="AF213" s="4"/>
      <c r="AG213" s="4"/>
      <c r="AH213" s="4"/>
    </row>
    <row r="214" ht="15.75" customHeight="1">
      <c r="A214" s="4"/>
      <c r="B214" s="4"/>
      <c r="C214" s="4"/>
      <c r="D214" s="23"/>
      <c r="E214" s="23"/>
      <c r="F214" s="23"/>
      <c r="G214" s="4"/>
      <c r="H214" s="4"/>
      <c r="I214" s="4"/>
      <c r="J214" s="4"/>
      <c r="K214" s="4"/>
      <c r="L214" s="23"/>
      <c r="M214" s="4"/>
      <c r="N214" s="4"/>
      <c r="O214" s="23"/>
      <c r="P214" s="4"/>
      <c r="Q214" s="4"/>
      <c r="R214" s="4"/>
      <c r="S214" s="4"/>
      <c r="T214" s="4"/>
      <c r="U214" s="4"/>
      <c r="V214" s="4"/>
      <c r="W214" s="4"/>
      <c r="X214" s="4"/>
      <c r="Y214" s="4"/>
      <c r="Z214" s="4"/>
      <c r="AA214" s="4"/>
      <c r="AB214" s="4"/>
      <c r="AC214" s="4"/>
      <c r="AD214" s="4"/>
      <c r="AE214" s="4"/>
      <c r="AF214" s="4"/>
      <c r="AG214" s="4"/>
      <c r="AH214" s="4"/>
    </row>
    <row r="215" ht="15.75" customHeight="1">
      <c r="A215" s="4"/>
      <c r="B215" s="4"/>
      <c r="C215" s="4"/>
      <c r="D215" s="23"/>
      <c r="E215" s="23"/>
      <c r="F215" s="23"/>
      <c r="G215" s="4"/>
      <c r="H215" s="4"/>
      <c r="I215" s="4"/>
      <c r="J215" s="4"/>
      <c r="K215" s="4"/>
      <c r="L215" s="23"/>
      <c r="M215" s="4"/>
      <c r="N215" s="4"/>
      <c r="O215" s="23"/>
      <c r="P215" s="4"/>
      <c r="Q215" s="4"/>
      <c r="R215" s="4"/>
      <c r="S215" s="4"/>
      <c r="T215" s="4"/>
      <c r="U215" s="4"/>
      <c r="V215" s="4"/>
      <c r="W215" s="4"/>
      <c r="X215" s="4"/>
      <c r="Y215" s="4"/>
      <c r="Z215" s="4"/>
      <c r="AA215" s="4"/>
      <c r="AB215" s="4"/>
      <c r="AC215" s="4"/>
      <c r="AD215" s="4"/>
      <c r="AE215" s="4"/>
      <c r="AF215" s="4"/>
      <c r="AG215" s="4"/>
      <c r="AH215" s="4"/>
    </row>
    <row r="216" ht="15.75" customHeight="1">
      <c r="A216" s="4"/>
      <c r="B216" s="4"/>
      <c r="C216" s="4"/>
      <c r="D216" s="23"/>
      <c r="E216" s="23"/>
      <c r="F216" s="23"/>
      <c r="G216" s="4"/>
      <c r="H216" s="4"/>
      <c r="I216" s="4"/>
      <c r="J216" s="4"/>
      <c r="K216" s="4"/>
      <c r="L216" s="23"/>
      <c r="M216" s="4"/>
      <c r="N216" s="4"/>
      <c r="O216" s="23"/>
      <c r="P216" s="4"/>
      <c r="Q216" s="4"/>
      <c r="R216" s="4"/>
      <c r="S216" s="4"/>
      <c r="T216" s="4"/>
      <c r="U216" s="4"/>
      <c r="V216" s="4"/>
      <c r="W216" s="4"/>
      <c r="X216" s="4"/>
      <c r="Y216" s="4"/>
      <c r="Z216" s="4"/>
      <c r="AA216" s="4"/>
      <c r="AB216" s="4"/>
      <c r="AC216" s="4"/>
      <c r="AD216" s="4"/>
      <c r="AE216" s="4"/>
      <c r="AF216" s="4"/>
      <c r="AG216" s="4"/>
      <c r="AH216" s="4"/>
    </row>
    <row r="217" ht="15.75" customHeight="1">
      <c r="A217" s="4"/>
      <c r="B217" s="4"/>
      <c r="C217" s="4"/>
      <c r="D217" s="23"/>
      <c r="E217" s="23"/>
      <c r="F217" s="23"/>
      <c r="G217" s="4"/>
      <c r="H217" s="4"/>
      <c r="I217" s="4"/>
      <c r="J217" s="4"/>
      <c r="K217" s="4"/>
      <c r="L217" s="23"/>
      <c r="M217" s="4"/>
      <c r="N217" s="4"/>
      <c r="O217" s="23"/>
      <c r="P217" s="4"/>
      <c r="Q217" s="4"/>
      <c r="R217" s="4"/>
      <c r="S217" s="4"/>
      <c r="T217" s="4"/>
      <c r="U217" s="4"/>
      <c r="V217" s="4"/>
      <c r="W217" s="4"/>
      <c r="X217" s="4"/>
      <c r="Y217" s="4"/>
      <c r="Z217" s="4"/>
      <c r="AA217" s="4"/>
      <c r="AB217" s="4"/>
      <c r="AC217" s="4"/>
      <c r="AD217" s="4"/>
      <c r="AE217" s="4"/>
      <c r="AF217" s="4"/>
      <c r="AG217" s="4"/>
      <c r="AH217" s="4"/>
    </row>
    <row r="218" ht="15.75" customHeight="1">
      <c r="A218" s="4"/>
      <c r="B218" s="4"/>
      <c r="C218" s="4"/>
      <c r="D218" s="23"/>
      <c r="E218" s="23"/>
      <c r="F218" s="23"/>
      <c r="G218" s="4"/>
      <c r="H218" s="4"/>
      <c r="I218" s="4"/>
      <c r="J218" s="4"/>
      <c r="K218" s="4"/>
      <c r="L218" s="23"/>
      <c r="M218" s="4"/>
      <c r="N218" s="4"/>
      <c r="O218" s="23"/>
      <c r="P218" s="4"/>
      <c r="Q218" s="4"/>
      <c r="R218" s="4"/>
      <c r="S218" s="4"/>
      <c r="T218" s="4"/>
      <c r="U218" s="4"/>
      <c r="V218" s="4"/>
      <c r="W218" s="4"/>
      <c r="X218" s="4"/>
      <c r="Y218" s="4"/>
      <c r="Z218" s="4"/>
      <c r="AA218" s="4"/>
      <c r="AB218" s="4"/>
      <c r="AC218" s="4"/>
      <c r="AD218" s="4"/>
      <c r="AE218" s="4"/>
      <c r="AF218" s="4"/>
      <c r="AG218" s="4"/>
      <c r="AH218" s="4"/>
    </row>
    <row r="219" ht="15.75" customHeight="1">
      <c r="A219" s="4"/>
      <c r="B219" s="4"/>
      <c r="C219" s="4"/>
      <c r="D219" s="23"/>
      <c r="E219" s="23"/>
      <c r="F219" s="23"/>
      <c r="G219" s="4"/>
      <c r="H219" s="4"/>
      <c r="I219" s="4"/>
      <c r="J219" s="4"/>
      <c r="K219" s="4"/>
      <c r="L219" s="23"/>
      <c r="M219" s="4"/>
      <c r="N219" s="4"/>
      <c r="O219" s="23"/>
      <c r="P219" s="4"/>
      <c r="Q219" s="4"/>
      <c r="R219" s="4"/>
      <c r="S219" s="4"/>
      <c r="T219" s="4"/>
      <c r="U219" s="4"/>
      <c r="V219" s="4"/>
      <c r="W219" s="4"/>
      <c r="X219" s="4"/>
      <c r="Y219" s="4"/>
      <c r="Z219" s="4"/>
      <c r="AA219" s="4"/>
      <c r="AB219" s="4"/>
      <c r="AC219" s="4"/>
      <c r="AD219" s="4"/>
      <c r="AE219" s="4"/>
      <c r="AF219" s="4"/>
      <c r="AG219" s="4"/>
      <c r="AH219" s="4"/>
    </row>
    <row r="220" ht="15.75" customHeight="1">
      <c r="A220" s="4"/>
      <c r="B220" s="4"/>
      <c r="C220" s="4"/>
      <c r="D220" s="23"/>
      <c r="E220" s="23"/>
      <c r="F220" s="23"/>
      <c r="G220" s="4"/>
      <c r="H220" s="4"/>
      <c r="I220" s="4"/>
      <c r="J220" s="4"/>
      <c r="K220" s="4"/>
      <c r="L220" s="23"/>
      <c r="M220" s="4"/>
      <c r="N220" s="4"/>
      <c r="O220" s="23"/>
      <c r="P220" s="4"/>
      <c r="Q220" s="4"/>
      <c r="R220" s="4"/>
      <c r="S220" s="4"/>
      <c r="T220" s="4"/>
      <c r="U220" s="4"/>
      <c r="V220" s="4"/>
      <c r="W220" s="4"/>
      <c r="X220" s="4"/>
      <c r="Y220" s="4"/>
      <c r="Z220" s="4"/>
      <c r="AA220" s="4"/>
      <c r="AB220" s="4"/>
      <c r="AC220" s="4"/>
      <c r="AD220" s="4"/>
      <c r="AE220" s="4"/>
      <c r="AF220" s="4"/>
      <c r="AG220" s="4"/>
      <c r="AH220" s="4"/>
    </row>
    <row r="221" ht="15.75" customHeight="1">
      <c r="A221" s="4"/>
      <c r="B221" s="4"/>
      <c r="C221" s="4"/>
      <c r="D221" s="23"/>
      <c r="E221" s="23"/>
      <c r="F221" s="23"/>
      <c r="G221" s="4"/>
      <c r="H221" s="4"/>
      <c r="I221" s="4"/>
      <c r="J221" s="4"/>
      <c r="K221" s="4"/>
      <c r="L221" s="23"/>
      <c r="M221" s="4"/>
      <c r="N221" s="4"/>
      <c r="O221" s="23"/>
      <c r="P221" s="4"/>
      <c r="Q221" s="4"/>
      <c r="R221" s="4"/>
      <c r="S221" s="4"/>
      <c r="T221" s="4"/>
      <c r="U221" s="4"/>
      <c r="V221" s="4"/>
      <c r="W221" s="4"/>
      <c r="X221" s="4"/>
      <c r="Y221" s="4"/>
      <c r="Z221" s="4"/>
      <c r="AA221" s="4"/>
      <c r="AB221" s="4"/>
      <c r="AC221" s="4"/>
      <c r="AD221" s="4"/>
      <c r="AE221" s="4"/>
      <c r="AF221" s="4"/>
      <c r="AG221" s="4"/>
      <c r="AH221" s="4"/>
    </row>
    <row r="222" ht="15.75" customHeight="1">
      <c r="A222" s="4"/>
      <c r="B222" s="4"/>
      <c r="C222" s="4"/>
      <c r="D222" s="23"/>
      <c r="E222" s="23"/>
      <c r="F222" s="23"/>
      <c r="G222" s="4"/>
      <c r="H222" s="4"/>
      <c r="I222" s="4"/>
      <c r="J222" s="4"/>
      <c r="K222" s="4"/>
      <c r="L222" s="23"/>
      <c r="M222" s="4"/>
      <c r="N222" s="4"/>
      <c r="O222" s="23"/>
      <c r="P222" s="4"/>
      <c r="Q222" s="4"/>
      <c r="R222" s="4"/>
      <c r="S222" s="4"/>
      <c r="T222" s="4"/>
      <c r="U222" s="4"/>
      <c r="V222" s="4"/>
      <c r="W222" s="4"/>
      <c r="X222" s="4"/>
      <c r="Y222" s="4"/>
      <c r="Z222" s="4"/>
      <c r="AA222" s="4"/>
      <c r="AB222" s="4"/>
      <c r="AC222" s="4"/>
      <c r="AD222" s="4"/>
      <c r="AE222" s="4"/>
      <c r="AF222" s="4"/>
      <c r="AG222" s="4"/>
      <c r="AH222" s="4"/>
    </row>
    <row r="223" ht="15.75" customHeight="1">
      <c r="A223" s="4"/>
      <c r="B223" s="4"/>
      <c r="C223" s="4"/>
      <c r="D223" s="23"/>
      <c r="E223" s="23"/>
      <c r="F223" s="23"/>
      <c r="G223" s="4"/>
      <c r="H223" s="4"/>
      <c r="I223" s="4"/>
      <c r="J223" s="4"/>
      <c r="K223" s="4"/>
      <c r="L223" s="23"/>
      <c r="M223" s="4"/>
      <c r="N223" s="4"/>
      <c r="O223" s="23"/>
      <c r="P223" s="4"/>
      <c r="Q223" s="4"/>
      <c r="R223" s="4"/>
      <c r="S223" s="4"/>
      <c r="T223" s="4"/>
      <c r="U223" s="4"/>
      <c r="V223" s="4"/>
      <c r="W223" s="4"/>
      <c r="X223" s="4"/>
      <c r="Y223" s="4"/>
      <c r="Z223" s="4"/>
      <c r="AA223" s="4"/>
      <c r="AB223" s="4"/>
      <c r="AC223" s="4"/>
      <c r="AD223" s="4"/>
      <c r="AE223" s="4"/>
      <c r="AF223" s="4"/>
      <c r="AG223" s="4"/>
      <c r="AH223" s="4"/>
    </row>
    <row r="224" ht="15.75" customHeight="1">
      <c r="A224" s="4"/>
      <c r="B224" s="4"/>
      <c r="C224" s="4"/>
      <c r="D224" s="23"/>
      <c r="E224" s="23"/>
      <c r="F224" s="23"/>
      <c r="G224" s="4"/>
      <c r="H224" s="4"/>
      <c r="I224" s="4"/>
      <c r="J224" s="4"/>
      <c r="K224" s="4"/>
      <c r="L224" s="23"/>
      <c r="M224" s="4"/>
      <c r="N224" s="4"/>
      <c r="O224" s="23"/>
      <c r="P224" s="4"/>
      <c r="Q224" s="4"/>
      <c r="R224" s="4"/>
      <c r="S224" s="4"/>
      <c r="T224" s="4"/>
      <c r="U224" s="4"/>
      <c r="V224" s="4"/>
      <c r="W224" s="4"/>
      <c r="X224" s="4"/>
      <c r="Y224" s="4"/>
      <c r="Z224" s="4"/>
      <c r="AA224" s="4"/>
      <c r="AB224" s="4"/>
      <c r="AC224" s="4"/>
      <c r="AD224" s="4"/>
      <c r="AE224" s="4"/>
      <c r="AF224" s="4"/>
      <c r="AG224" s="4"/>
      <c r="AH224" s="4"/>
    </row>
    <row r="225" ht="15.75" customHeight="1">
      <c r="A225" s="4"/>
      <c r="B225" s="4"/>
      <c r="C225" s="4"/>
      <c r="D225" s="23"/>
      <c r="E225" s="23"/>
      <c r="F225" s="23"/>
      <c r="G225" s="4"/>
      <c r="H225" s="4"/>
      <c r="I225" s="4"/>
      <c r="J225" s="4"/>
      <c r="K225" s="4"/>
      <c r="L225" s="23"/>
      <c r="M225" s="4"/>
      <c r="N225" s="4"/>
      <c r="O225" s="23"/>
      <c r="P225" s="4"/>
      <c r="Q225" s="4"/>
      <c r="R225" s="4"/>
      <c r="S225" s="4"/>
      <c r="T225" s="4"/>
      <c r="U225" s="4"/>
      <c r="V225" s="4"/>
      <c r="W225" s="4"/>
      <c r="X225" s="4"/>
      <c r="Y225" s="4"/>
      <c r="Z225" s="4"/>
      <c r="AA225" s="4"/>
      <c r="AB225" s="4"/>
      <c r="AC225" s="4"/>
      <c r="AD225" s="4"/>
      <c r="AE225" s="4"/>
      <c r="AF225" s="4"/>
      <c r="AG225" s="4"/>
      <c r="AH225" s="4"/>
    </row>
    <row r="226" ht="15.75" customHeight="1">
      <c r="A226" s="4"/>
      <c r="B226" s="4"/>
      <c r="C226" s="4"/>
      <c r="D226" s="23"/>
      <c r="E226" s="23"/>
      <c r="F226" s="23"/>
      <c r="G226" s="4"/>
      <c r="H226" s="4"/>
      <c r="I226" s="4"/>
      <c r="J226" s="4"/>
      <c r="K226" s="4"/>
      <c r="L226" s="23"/>
      <c r="M226" s="4"/>
      <c r="N226" s="4"/>
      <c r="O226" s="23"/>
      <c r="P226" s="4"/>
      <c r="Q226" s="4"/>
      <c r="R226" s="4"/>
      <c r="S226" s="4"/>
      <c r="T226" s="4"/>
      <c r="U226" s="4"/>
      <c r="V226" s="4"/>
      <c r="W226" s="4"/>
      <c r="X226" s="4"/>
      <c r="Y226" s="4"/>
      <c r="Z226" s="4"/>
      <c r="AA226" s="4"/>
      <c r="AB226" s="4"/>
      <c r="AC226" s="4"/>
      <c r="AD226" s="4"/>
      <c r="AE226" s="4"/>
      <c r="AF226" s="4"/>
      <c r="AG226" s="4"/>
      <c r="AH226" s="4"/>
    </row>
    <row r="227" ht="15.75" customHeight="1">
      <c r="A227" s="4"/>
      <c r="B227" s="4"/>
      <c r="C227" s="4"/>
      <c r="D227" s="23"/>
      <c r="E227" s="23"/>
      <c r="F227" s="23"/>
      <c r="G227" s="4"/>
      <c r="H227" s="4"/>
      <c r="I227" s="4"/>
      <c r="J227" s="4"/>
      <c r="K227" s="4"/>
      <c r="L227" s="23"/>
      <c r="M227" s="4"/>
      <c r="N227" s="4"/>
      <c r="O227" s="23"/>
      <c r="P227" s="4"/>
      <c r="Q227" s="4"/>
      <c r="R227" s="4"/>
      <c r="S227" s="4"/>
      <c r="T227" s="4"/>
      <c r="U227" s="4"/>
      <c r="V227" s="4"/>
      <c r="W227" s="4"/>
      <c r="X227" s="4"/>
      <c r="Y227" s="4"/>
      <c r="Z227" s="4"/>
      <c r="AA227" s="4"/>
      <c r="AB227" s="4"/>
      <c r="AC227" s="4"/>
      <c r="AD227" s="4"/>
      <c r="AE227" s="4"/>
      <c r="AF227" s="4"/>
      <c r="AG227" s="4"/>
      <c r="AH227" s="4"/>
    </row>
    <row r="228" ht="15.75" customHeight="1">
      <c r="A228" s="4"/>
      <c r="B228" s="4"/>
      <c r="C228" s="4"/>
      <c r="D228" s="23"/>
      <c r="E228" s="23"/>
      <c r="F228" s="23"/>
      <c r="G228" s="4"/>
      <c r="H228" s="4"/>
      <c r="I228" s="4"/>
      <c r="J228" s="4"/>
      <c r="K228" s="4"/>
      <c r="L228" s="23"/>
      <c r="M228" s="4"/>
      <c r="N228" s="4"/>
      <c r="O228" s="23"/>
      <c r="P228" s="4"/>
      <c r="Q228" s="4"/>
      <c r="R228" s="4"/>
      <c r="S228" s="4"/>
      <c r="T228" s="4"/>
      <c r="U228" s="4"/>
      <c r="V228" s="4"/>
      <c r="W228" s="4"/>
      <c r="X228" s="4"/>
      <c r="Y228" s="4"/>
      <c r="Z228" s="4"/>
      <c r="AA228" s="4"/>
      <c r="AB228" s="4"/>
      <c r="AC228" s="4"/>
      <c r="AD228" s="4"/>
      <c r="AE228" s="4"/>
      <c r="AF228" s="4"/>
      <c r="AG228" s="4"/>
      <c r="AH228" s="4"/>
    </row>
    <row r="229" ht="15.75" customHeight="1">
      <c r="A229" s="4"/>
      <c r="B229" s="4"/>
      <c r="C229" s="4"/>
      <c r="D229" s="23"/>
      <c r="E229" s="23"/>
      <c r="F229" s="23"/>
      <c r="G229" s="4"/>
      <c r="H229" s="4"/>
      <c r="I229" s="4"/>
      <c r="J229" s="4"/>
      <c r="K229" s="4"/>
      <c r="L229" s="23"/>
      <c r="M229" s="4"/>
      <c r="N229" s="4"/>
      <c r="O229" s="23"/>
      <c r="P229" s="4"/>
      <c r="Q229" s="4"/>
      <c r="R229" s="4"/>
      <c r="S229" s="4"/>
      <c r="T229" s="4"/>
      <c r="U229" s="4"/>
      <c r="V229" s="4"/>
      <c r="W229" s="4"/>
      <c r="X229" s="4"/>
      <c r="Y229" s="4"/>
      <c r="Z229" s="4"/>
      <c r="AA229" s="4"/>
      <c r="AB229" s="4"/>
      <c r="AC229" s="4"/>
      <c r="AD229" s="4"/>
      <c r="AE229" s="4"/>
      <c r="AF229" s="4"/>
      <c r="AG229" s="4"/>
      <c r="AH229" s="4"/>
    </row>
    <row r="230" ht="15.75" customHeight="1">
      <c r="A230" s="4"/>
      <c r="B230" s="4"/>
      <c r="C230" s="4"/>
      <c r="D230" s="23"/>
      <c r="E230" s="23"/>
      <c r="F230" s="23"/>
      <c r="G230" s="4"/>
      <c r="H230" s="4"/>
      <c r="I230" s="4"/>
      <c r="J230" s="4"/>
      <c r="K230" s="4"/>
      <c r="L230" s="23"/>
      <c r="M230" s="4"/>
      <c r="N230" s="4"/>
      <c r="O230" s="23"/>
      <c r="P230" s="4"/>
      <c r="Q230" s="4"/>
      <c r="R230" s="4"/>
      <c r="S230" s="4"/>
      <c r="T230" s="4"/>
      <c r="U230" s="4"/>
      <c r="V230" s="4"/>
      <c r="W230" s="4"/>
      <c r="X230" s="4"/>
      <c r="Y230" s="4"/>
      <c r="Z230" s="4"/>
      <c r="AA230" s="4"/>
      <c r="AB230" s="4"/>
      <c r="AC230" s="4"/>
      <c r="AD230" s="4"/>
      <c r="AE230" s="4"/>
      <c r="AF230" s="4"/>
      <c r="AG230" s="4"/>
      <c r="AH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sheetData>
  <mergeCells count="10">
    <mergeCell ref="W28:AD28"/>
    <mergeCell ref="W29:AD29"/>
    <mergeCell ref="W38:AH38"/>
    <mergeCell ref="A1:T1"/>
    <mergeCell ref="A2:T2"/>
    <mergeCell ref="A3:E3"/>
    <mergeCell ref="A4:E4"/>
    <mergeCell ref="A5:T5"/>
    <mergeCell ref="A6:T6"/>
    <mergeCell ref="W10:AH10"/>
  </mergeCells>
  <conditionalFormatting sqref="F3">
    <cfRule type="cellIs" dxfId="3" priority="1" operator="greaterThan">
      <formula>0</formula>
    </cfRule>
  </conditionalFormatting>
  <conditionalFormatting sqref="F3">
    <cfRule type="cellIs" dxfId="4" priority="2" operator="lessThan">
      <formula>0</formula>
    </cfRule>
  </conditionalFormatting>
  <conditionalFormatting sqref="O12:O18 O21:O1000">
    <cfRule type="cellIs" dxfId="2" priority="3" operator="equal">
      <formula>"Disputed"</formula>
    </cfRule>
  </conditionalFormatting>
  <conditionalFormatting sqref="O12:O18 O21:O1000">
    <cfRule type="cellIs" dxfId="1" priority="4" operator="equal">
      <formula>"Awaiting approval"</formula>
    </cfRule>
  </conditionalFormatting>
  <conditionalFormatting sqref="O12:O18 O21:O1000">
    <cfRule type="cellIs" dxfId="0" priority="5" operator="equal">
      <formula>"Paid-in-full"</formula>
    </cfRule>
  </conditionalFormatting>
  <dataValidations>
    <dataValidation type="list" allowBlank="1" showErrorMessage="1" sqref="Z40:Z43">
      <formula1>"Paid,Not Paid"</formula1>
    </dataValidation>
    <dataValidation type="list" allowBlank="1" sqref="F12:F400">
      <formula1>"Y,N"</formula1>
    </dataValidation>
    <dataValidation type="list" allowBlank="1" sqref="O12:O400">
      <formula1>"Awaiting invoice,Awaiting approval,Invoiced-unpaid,Paid-in-full,Disputed"</formula1>
    </dataValidation>
    <dataValidation type="list" allowBlank="1" sqref="E12:E400">
      <formula1>"School Fees,Uniforms,Medical,Dental-Ortho,Psychology,Activities,Excursions,Other"</formula1>
    </dataValidation>
    <dataValidation type="list" allowBlank="1" sqref="L12:L400">
      <formula1>"Clent,Matina"</formula1>
    </dataValidation>
    <dataValidation type="list" allowBlank="1" sqref="D12:D400">
      <formula1>"Sierra,Kyah,Both"</formula1>
    </dataValidation>
  </dataValidations>
  <hyperlinks>
    <hyperlink r:id="rId1" ref="Q12"/>
    <hyperlink r:id="rId2" ref="R12"/>
    <hyperlink r:id="rId3" location="search/75.95/FMfcgzQhVNQfZVDCDmGhvqLVRWqtQQKq" ref="S12"/>
    <hyperlink r:id="rId4" ref="R13"/>
    <hyperlink r:id="rId5" location="advanced-search/from=clent%40jewellprojects.com&amp;subset=all&amp;has=206&amp;within=1d&amp;sizeoperator=s_sl&amp;sizeunit=s_smb&amp;query=206/FMfcgzQgMVjPlmCBBZndQMHsWxdqVfTp" ref="S13"/>
    <hyperlink r:id="rId6" ref="Q14"/>
    <hyperlink r:id="rId7" ref="R14"/>
    <hyperlink r:id="rId8" location="search/BCSA+Payment+%E2%80%94+Sierra+School+Uniform+%7C+%2487.00/FMfcgzQgMgDfdkxMJRSnQTTfKMQcmfMM" ref="S14"/>
    <hyperlink r:id="rId9" ref="Q16"/>
    <hyperlink r:id="rId10" ref="R16"/>
    <hyperlink r:id="rId11" location="search/3325.38/FMfcgzQgMgLbMcdWDRNkNkqdwxXhRxNv" ref="S16"/>
    <hyperlink r:id="rId12" ref="Q17"/>
    <hyperlink r:id="rId13" ref="R17"/>
    <hyperlink r:id="rId14" location="search/673/FMfcgzQgLjbtzZspJLsFQvkvGblzKxnJ" ref="S17"/>
    <hyperlink r:id="rId15" ref="Q18"/>
    <hyperlink r:id="rId16" ref="R18"/>
    <hyperlink r:id="rId17" location="inbox/FMfcgzQhVWxTbpQVTlPBXnzLdPvkSrxJ" ref="S18"/>
    <hyperlink r:id="rId18" location="inbox/FMfcgzQhVWxTHxlRlpQstfzMFxqGbXGd" ref="S19"/>
    <hyperlink r:id="rId19" location="search/living+well/FMfcgzQhVrBXGlkvFDMLBpMftbhJHWpq" ref="S20"/>
  </hyperlinks>
  <printOptions/>
  <pageMargins bottom="1.0" footer="0.0" header="0.0" left="0.75" right="0.75" top="1.0"/>
  <pageSetup orientation="landscape"/>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Row="1"/>
  <cols>
    <col customWidth="1" min="1" max="1" width="46.0"/>
    <col customWidth="1" min="2" max="2" width="17.0"/>
    <col customWidth="1" min="3" max="3" width="60.0"/>
    <col customWidth="1" min="4" max="5" width="15.0"/>
    <col customWidth="1" min="6" max="6" width="13.0"/>
    <col customWidth="1" min="7" max="7" width="15.0"/>
    <col customWidth="1" min="8" max="8" width="26.0"/>
  </cols>
  <sheetData>
    <row r="1" ht="21.75" customHeight="1">
      <c r="A1" s="1" t="s">
        <v>3</v>
      </c>
      <c r="B1" s="2"/>
      <c r="C1" s="2"/>
      <c r="D1" s="2"/>
      <c r="E1" s="2"/>
      <c r="F1" s="2"/>
      <c r="G1" s="2"/>
      <c r="H1" s="3"/>
      <c r="I1" s="4"/>
      <c r="J1" s="4"/>
      <c r="K1" s="4"/>
      <c r="L1" s="4"/>
      <c r="M1" s="4"/>
      <c r="N1" s="4"/>
      <c r="O1" s="4"/>
      <c r="P1" s="4"/>
      <c r="Q1" s="4"/>
      <c r="R1" s="4"/>
      <c r="S1" s="4"/>
      <c r="T1" s="4"/>
      <c r="U1" s="4"/>
      <c r="V1" s="4"/>
      <c r="W1" s="4"/>
      <c r="X1" s="4"/>
      <c r="Y1" s="4"/>
      <c r="Z1" s="4"/>
    </row>
    <row r="2">
      <c r="A2" s="6" t="s">
        <v>5</v>
      </c>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ht="19.5" customHeight="1">
      <c r="A4" s="14" t="s">
        <v>12</v>
      </c>
      <c r="B4" s="15"/>
      <c r="C4" s="15"/>
      <c r="D4" s="15"/>
      <c r="E4" s="15"/>
      <c r="F4" s="15"/>
      <c r="G4" s="15"/>
      <c r="H4" s="15"/>
      <c r="I4" s="4"/>
      <c r="J4" s="4"/>
      <c r="K4" s="4"/>
      <c r="L4" s="4"/>
      <c r="M4" s="4"/>
      <c r="N4" s="4"/>
      <c r="O4" s="4"/>
      <c r="P4" s="4"/>
      <c r="Q4" s="4"/>
      <c r="R4" s="4"/>
      <c r="S4" s="4"/>
      <c r="T4" s="4"/>
      <c r="U4" s="4"/>
      <c r="V4" s="4"/>
      <c r="W4" s="4"/>
      <c r="X4" s="4"/>
      <c r="Y4" s="4"/>
      <c r="Z4" s="4"/>
    </row>
    <row r="5">
      <c r="A5" s="19" t="s">
        <v>13</v>
      </c>
      <c r="B5" s="19" t="s">
        <v>24</v>
      </c>
      <c r="C5" s="19" t="s">
        <v>25</v>
      </c>
      <c r="D5" s="4"/>
      <c r="E5" s="4"/>
      <c r="F5" s="4"/>
      <c r="G5" s="4"/>
      <c r="H5" s="4"/>
      <c r="I5" s="4"/>
      <c r="J5" s="4"/>
      <c r="K5" s="4"/>
      <c r="L5" s="4"/>
      <c r="M5" s="4"/>
      <c r="N5" s="4"/>
      <c r="O5" s="4"/>
      <c r="P5" s="4"/>
      <c r="Q5" s="4"/>
      <c r="R5" s="4"/>
      <c r="S5" s="4"/>
      <c r="T5" s="4"/>
      <c r="U5" s="4"/>
      <c r="V5" s="4"/>
      <c r="W5" s="4"/>
      <c r="X5" s="4"/>
      <c r="Y5" s="4"/>
      <c r="Z5" s="4"/>
    </row>
    <row r="6">
      <c r="A6" s="23" t="s">
        <v>30</v>
      </c>
      <c r="B6" s="24">
        <f>'Net Worth 7 Jul 2026'!B32</f>
        <v>1226208.85</v>
      </c>
      <c r="C6" s="21" t="s">
        <v>31</v>
      </c>
      <c r="D6" s="4"/>
      <c r="E6" s="4"/>
      <c r="F6" s="4"/>
      <c r="G6" s="4"/>
      <c r="H6" s="4"/>
      <c r="I6" s="4"/>
      <c r="J6" s="4"/>
      <c r="K6" s="4"/>
      <c r="L6" s="4"/>
      <c r="M6" s="4"/>
      <c r="N6" s="4"/>
      <c r="O6" s="4"/>
      <c r="P6" s="4"/>
      <c r="Q6" s="4"/>
      <c r="R6" s="4"/>
      <c r="S6" s="4"/>
      <c r="T6" s="4"/>
      <c r="U6" s="4"/>
      <c r="V6" s="4"/>
      <c r="W6" s="4"/>
      <c r="X6" s="4"/>
      <c r="Y6" s="4"/>
      <c r="Z6" s="4"/>
    </row>
    <row r="7">
      <c r="A7" s="23" t="s">
        <v>34</v>
      </c>
      <c r="B7" s="24">
        <f>SUM('Cashflow Budget FY27'!D155:D157)</f>
        <v>-27020</v>
      </c>
      <c r="C7" s="21" t="s">
        <v>36</v>
      </c>
      <c r="D7" s="4"/>
      <c r="E7" s="4"/>
      <c r="F7" s="4"/>
      <c r="G7" s="4"/>
      <c r="H7" s="4"/>
      <c r="I7" s="4"/>
      <c r="J7" s="4"/>
      <c r="K7" s="4"/>
      <c r="L7" s="4"/>
      <c r="M7" s="4"/>
      <c r="N7" s="4"/>
      <c r="O7" s="4"/>
      <c r="P7" s="4"/>
      <c r="Q7" s="4"/>
      <c r="R7" s="4"/>
      <c r="S7" s="4"/>
      <c r="T7" s="4"/>
      <c r="U7" s="4"/>
      <c r="V7" s="4"/>
      <c r="W7" s="4"/>
      <c r="X7" s="4"/>
      <c r="Y7" s="4"/>
      <c r="Z7" s="4"/>
    </row>
    <row r="8">
      <c r="A8" s="23" t="s">
        <v>40</v>
      </c>
      <c r="B8" s="24">
        <f>SUM('Cashflow Budget FY27'!B151:D151)</f>
        <v>-48061.53</v>
      </c>
      <c r="C8" s="21" t="s">
        <v>41</v>
      </c>
      <c r="D8" s="4"/>
      <c r="E8" s="4"/>
      <c r="F8" s="4"/>
      <c r="G8" s="4"/>
      <c r="H8" s="4"/>
      <c r="I8" s="4"/>
      <c r="J8" s="4"/>
      <c r="K8" s="4"/>
      <c r="L8" s="4"/>
      <c r="M8" s="4"/>
      <c r="N8" s="4"/>
      <c r="O8" s="4"/>
      <c r="P8" s="4"/>
      <c r="Q8" s="4"/>
      <c r="R8" s="4"/>
      <c r="S8" s="4"/>
      <c r="T8" s="4"/>
      <c r="U8" s="4"/>
      <c r="V8" s="4"/>
      <c r="W8" s="4"/>
      <c r="X8" s="4"/>
      <c r="Y8" s="4"/>
      <c r="Z8" s="4"/>
    </row>
    <row r="9">
      <c r="A9" s="23" t="s">
        <v>45</v>
      </c>
      <c r="B9" s="24">
        <f>SUM('Cashflow Budget FY27'!B119:D119)</f>
        <v>-22936.35</v>
      </c>
      <c r="C9" s="21" t="s">
        <v>51</v>
      </c>
      <c r="D9" s="4"/>
      <c r="E9" s="4"/>
      <c r="F9" s="4"/>
      <c r="G9" s="4"/>
      <c r="H9" s="4"/>
      <c r="I9" s="4"/>
      <c r="J9" s="4"/>
      <c r="K9" s="4"/>
      <c r="L9" s="4"/>
      <c r="M9" s="4"/>
      <c r="N9" s="4"/>
      <c r="O9" s="4"/>
      <c r="P9" s="4"/>
      <c r="Q9" s="4"/>
      <c r="R9" s="4"/>
      <c r="S9" s="4"/>
      <c r="T9" s="4"/>
      <c r="U9" s="4"/>
      <c r="V9" s="4"/>
      <c r="W9" s="4"/>
      <c r="X9" s="4"/>
      <c r="Y9" s="4"/>
      <c r="Z9" s="4"/>
    </row>
    <row r="10">
      <c r="A10" s="40"/>
      <c r="B10" s="40"/>
      <c r="C10" s="4"/>
      <c r="D10" s="4"/>
      <c r="E10" s="4"/>
      <c r="F10" s="4"/>
      <c r="G10" s="4"/>
      <c r="H10" s="4"/>
      <c r="I10" s="4"/>
      <c r="J10" s="4"/>
      <c r="K10" s="4"/>
      <c r="L10" s="4"/>
      <c r="M10" s="4"/>
      <c r="N10" s="4"/>
      <c r="O10" s="4"/>
      <c r="P10" s="4"/>
      <c r="Q10" s="4"/>
      <c r="R10" s="4"/>
      <c r="S10" s="4"/>
      <c r="T10" s="4"/>
      <c r="U10" s="4"/>
      <c r="V10" s="4"/>
      <c r="W10" s="4"/>
      <c r="X10" s="4"/>
      <c r="Y10" s="4"/>
      <c r="Z10" s="4"/>
    </row>
    <row r="11" ht="21.75" customHeight="1">
      <c r="A11" s="44" t="s">
        <v>69</v>
      </c>
      <c r="B11" s="49">
        <f>SUM(B6:B9)</f>
        <v>1128190.97</v>
      </c>
      <c r="C11" s="51" t="s">
        <v>71</v>
      </c>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ht="19.5" customHeight="1">
      <c r="A13" s="14" t="s">
        <v>87</v>
      </c>
      <c r="B13" s="15"/>
      <c r="C13" s="15"/>
      <c r="D13" s="15"/>
      <c r="E13" s="15"/>
      <c r="F13" s="15"/>
      <c r="G13" s="15"/>
      <c r="H13" s="15"/>
      <c r="I13" s="4"/>
      <c r="J13" s="4"/>
      <c r="K13" s="4"/>
      <c r="L13" s="4"/>
      <c r="M13" s="4"/>
      <c r="N13" s="4"/>
      <c r="O13" s="4"/>
      <c r="P13" s="4"/>
      <c r="Q13" s="4"/>
      <c r="R13" s="4"/>
      <c r="S13" s="4"/>
      <c r="T13" s="4"/>
      <c r="U13" s="4"/>
      <c r="V13" s="4"/>
      <c r="W13" s="4"/>
      <c r="X13" s="4"/>
      <c r="Y13" s="4"/>
      <c r="Z13" s="4"/>
    </row>
    <row r="14">
      <c r="A14" s="19" t="s">
        <v>93</v>
      </c>
      <c r="B14" s="60"/>
      <c r="C14" s="60"/>
      <c r="D14" s="4"/>
      <c r="E14" s="4"/>
      <c r="F14" s="4"/>
      <c r="G14" s="4"/>
      <c r="H14" s="4"/>
      <c r="I14" s="4"/>
      <c r="J14" s="4"/>
      <c r="K14" s="4"/>
      <c r="L14" s="4"/>
      <c r="M14" s="4"/>
      <c r="N14" s="4"/>
      <c r="O14" s="4"/>
      <c r="P14" s="4"/>
      <c r="Q14" s="4"/>
      <c r="R14" s="4"/>
      <c r="S14" s="4"/>
      <c r="T14" s="4"/>
      <c r="U14" s="4"/>
      <c r="V14" s="4"/>
      <c r="W14" s="4"/>
      <c r="X14" s="4"/>
      <c r="Y14" s="4"/>
      <c r="Z14" s="4"/>
    </row>
    <row r="15">
      <c r="A15" s="23" t="s">
        <v>97</v>
      </c>
      <c r="B15" s="24">
        <f>'Net Worth 7 Jul 2026'!B11+'Cashflow Budget FY27'!D158+SUM('Cashflow Budget FY27'!B151:D151)</f>
        <v>474061.93</v>
      </c>
      <c r="C15" s="21" t="s">
        <v>99</v>
      </c>
      <c r="D15" s="4"/>
      <c r="E15" s="4"/>
      <c r="F15" s="4"/>
      <c r="G15" s="4"/>
      <c r="H15" s="4"/>
      <c r="I15" s="4"/>
      <c r="J15" s="4"/>
      <c r="K15" s="4"/>
      <c r="L15" s="4"/>
      <c r="M15" s="4"/>
      <c r="N15" s="4"/>
      <c r="O15" s="4"/>
      <c r="P15" s="4"/>
      <c r="Q15" s="4"/>
      <c r="R15" s="4"/>
      <c r="S15" s="4"/>
      <c r="T15" s="4"/>
      <c r="U15" s="4"/>
      <c r="V15" s="4"/>
      <c r="W15" s="4"/>
      <c r="X15" s="4"/>
      <c r="Y15" s="4"/>
      <c r="Z15" s="4"/>
    </row>
    <row r="16">
      <c r="A16" s="23" t="s">
        <v>102</v>
      </c>
      <c r="B16" s="24">
        <f>'Net Worth 7 Jul 2026'!B15</f>
        <v>406323.88</v>
      </c>
      <c r="C16" s="21" t="s">
        <v>104</v>
      </c>
      <c r="D16" s="4"/>
      <c r="E16" s="4"/>
      <c r="F16" s="4"/>
      <c r="G16" s="4"/>
      <c r="H16" s="4"/>
      <c r="I16" s="4"/>
      <c r="J16" s="4"/>
      <c r="K16" s="4"/>
      <c r="L16" s="4"/>
      <c r="M16" s="4"/>
      <c r="N16" s="4"/>
      <c r="O16" s="4"/>
      <c r="P16" s="4"/>
      <c r="Q16" s="4"/>
      <c r="R16" s="4"/>
      <c r="S16" s="4"/>
      <c r="T16" s="4"/>
      <c r="U16" s="4"/>
      <c r="V16" s="4"/>
      <c r="W16" s="4"/>
      <c r="X16" s="4"/>
      <c r="Y16" s="4"/>
      <c r="Z16" s="4"/>
    </row>
    <row r="17">
      <c r="A17" s="23" t="s">
        <v>107</v>
      </c>
      <c r="B17" s="24">
        <f>'Net Worth 7 Jul 2026'!B21</f>
        <v>293874.85</v>
      </c>
      <c r="C17" s="21" t="s">
        <v>108</v>
      </c>
      <c r="D17" s="4"/>
      <c r="E17" s="4"/>
      <c r="F17" s="4"/>
      <c r="G17" s="4"/>
      <c r="H17" s="4"/>
      <c r="I17" s="4"/>
      <c r="J17" s="4"/>
      <c r="K17" s="4"/>
      <c r="L17" s="4"/>
      <c r="M17" s="4"/>
      <c r="N17" s="4"/>
      <c r="O17" s="4"/>
      <c r="P17" s="4"/>
      <c r="Q17" s="4"/>
      <c r="R17" s="4"/>
      <c r="S17" s="4"/>
      <c r="T17" s="4"/>
      <c r="U17" s="4"/>
      <c r="V17" s="4"/>
      <c r="W17" s="4"/>
      <c r="X17" s="4"/>
      <c r="Y17" s="4"/>
      <c r="Z17" s="4"/>
    </row>
    <row r="18">
      <c r="A18" s="68" t="s">
        <v>109</v>
      </c>
      <c r="B18" s="69">
        <f>'Net Worth 7 Jul 2026'!B22+SUM('Cashflow Budget FY27'!B119:D119)</f>
        <v>-9192.25</v>
      </c>
      <c r="C18" s="70" t="s">
        <v>113</v>
      </c>
      <c r="D18" s="4"/>
      <c r="E18" s="4"/>
      <c r="F18" s="4"/>
      <c r="G18" s="4"/>
      <c r="H18" s="4"/>
      <c r="I18" s="4"/>
      <c r="J18" s="4"/>
      <c r="K18" s="4"/>
      <c r="L18" s="4"/>
      <c r="M18" s="4"/>
      <c r="N18" s="4"/>
      <c r="O18" s="4"/>
      <c r="P18" s="4"/>
      <c r="Q18" s="4"/>
      <c r="R18" s="4"/>
      <c r="S18" s="4"/>
      <c r="T18" s="4"/>
      <c r="U18" s="4"/>
      <c r="V18" s="4"/>
      <c r="W18" s="4"/>
      <c r="X18" s="4"/>
      <c r="Y18" s="4"/>
      <c r="Z18" s="4"/>
    </row>
    <row r="19">
      <c r="A19" s="19" t="s">
        <v>115</v>
      </c>
      <c r="B19" s="73">
        <f>SUM(B15:B18)</f>
        <v>1165068.41</v>
      </c>
      <c r="C19" s="76" t="s">
        <v>117</v>
      </c>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19" t="s">
        <v>123</v>
      </c>
      <c r="B21" s="60"/>
      <c r="C21" s="60"/>
      <c r="D21" s="4"/>
      <c r="E21" s="4"/>
      <c r="F21" s="4"/>
      <c r="G21" s="4"/>
      <c r="H21" s="4"/>
      <c r="I21" s="4"/>
      <c r="J21" s="4"/>
      <c r="K21" s="4"/>
      <c r="L21" s="4"/>
      <c r="M21" s="4"/>
      <c r="N21" s="4"/>
      <c r="O21" s="4"/>
      <c r="P21" s="4"/>
      <c r="Q21" s="4"/>
      <c r="R21" s="4"/>
      <c r="S21" s="4"/>
      <c r="T21" s="4"/>
      <c r="U21" s="4"/>
      <c r="V21" s="4"/>
      <c r="W21" s="4"/>
      <c r="X21" s="4"/>
      <c r="Y21" s="4"/>
      <c r="Z21" s="4"/>
    </row>
    <row r="22" ht="15.75" customHeight="1">
      <c r="A22" s="23" t="s">
        <v>126</v>
      </c>
      <c r="B22" s="24">
        <f>'Net Worth 7 Jul 2026'!B27</f>
        <v>-35000</v>
      </c>
      <c r="C22" s="21" t="s">
        <v>128</v>
      </c>
      <c r="D22" s="4"/>
      <c r="E22" s="4"/>
      <c r="F22" s="4"/>
      <c r="G22" s="4"/>
      <c r="H22" s="4"/>
      <c r="I22" s="4"/>
      <c r="J22" s="4"/>
      <c r="K22" s="4"/>
      <c r="L22" s="4"/>
      <c r="M22" s="4"/>
      <c r="N22" s="4"/>
      <c r="O22" s="4"/>
      <c r="P22" s="4"/>
      <c r="Q22" s="4"/>
      <c r="R22" s="4"/>
      <c r="S22" s="4"/>
      <c r="T22" s="4"/>
      <c r="U22" s="4"/>
      <c r="V22" s="4"/>
      <c r="W22" s="4"/>
      <c r="X22" s="4"/>
      <c r="Y22" s="4"/>
      <c r="Z22" s="4"/>
    </row>
    <row r="23" ht="15.75" customHeight="1">
      <c r="A23" s="82" t="s">
        <v>130</v>
      </c>
      <c r="B23" s="83">
        <v>0.0</v>
      </c>
      <c r="C23" s="21" t="s">
        <v>133</v>
      </c>
      <c r="D23" s="4"/>
      <c r="E23" s="4"/>
      <c r="F23" s="4"/>
      <c r="G23" s="4"/>
      <c r="H23" s="4"/>
      <c r="I23" s="4"/>
      <c r="J23" s="4"/>
      <c r="K23" s="4"/>
      <c r="L23" s="4"/>
      <c r="M23" s="4"/>
      <c r="N23" s="4"/>
      <c r="O23" s="4"/>
      <c r="P23" s="4"/>
      <c r="Q23" s="4"/>
      <c r="R23" s="4"/>
      <c r="S23" s="4"/>
      <c r="T23" s="4"/>
      <c r="U23" s="4"/>
      <c r="V23" s="4"/>
      <c r="W23" s="4"/>
      <c r="X23" s="4"/>
      <c r="Y23" s="4"/>
      <c r="Z23" s="4"/>
    </row>
    <row r="24" ht="15.75" customHeight="1">
      <c r="A24" s="19" t="s">
        <v>134</v>
      </c>
      <c r="B24" s="73">
        <f>B22+B23</f>
        <v>-35000</v>
      </c>
      <c r="C24" s="76" t="s">
        <v>137</v>
      </c>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21.75" customHeight="1">
      <c r="A26" s="44" t="s">
        <v>142</v>
      </c>
      <c r="B26" s="49">
        <f>B19+B24</f>
        <v>1130068.41</v>
      </c>
      <c r="C26" s="51" t="s">
        <v>143</v>
      </c>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19" t="s">
        <v>147</v>
      </c>
      <c r="B28" s="60"/>
      <c r="C28" s="19" t="s">
        <v>148</v>
      </c>
      <c r="D28" s="4"/>
      <c r="E28" s="4"/>
      <c r="F28" s="4"/>
      <c r="G28" s="4"/>
      <c r="H28" s="4"/>
      <c r="I28" s="4"/>
      <c r="J28" s="4"/>
      <c r="K28" s="4"/>
      <c r="L28" s="4"/>
      <c r="M28" s="4"/>
      <c r="N28" s="4"/>
      <c r="O28" s="4"/>
      <c r="P28" s="4"/>
      <c r="Q28" s="4"/>
      <c r="R28" s="4"/>
      <c r="S28" s="4"/>
      <c r="T28" s="4"/>
      <c r="U28" s="4"/>
      <c r="V28" s="4"/>
      <c r="W28" s="4"/>
      <c r="X28" s="4"/>
      <c r="Y28" s="4"/>
      <c r="Z28" s="4"/>
    </row>
    <row r="29" ht="15.75" customHeight="1">
      <c r="A29" s="23" t="s">
        <v>152</v>
      </c>
      <c r="B29" s="24">
        <f t="shared" ref="B29:B30" si="1">B15</f>
        <v>474061.93</v>
      </c>
      <c r="C29" s="92">
        <f t="shared" ref="C29:C31" si="2">B29/$B$26</f>
        <v>0.4194984355</v>
      </c>
      <c r="D29" s="4"/>
      <c r="E29" s="4"/>
      <c r="F29" s="4"/>
      <c r="G29" s="4"/>
      <c r="H29" s="4"/>
      <c r="I29" s="4"/>
      <c r="J29" s="4"/>
      <c r="K29" s="4"/>
      <c r="L29" s="4"/>
      <c r="M29" s="4"/>
      <c r="N29" s="4"/>
      <c r="O29" s="4"/>
      <c r="P29" s="4"/>
      <c r="Q29" s="4"/>
      <c r="R29" s="4"/>
      <c r="S29" s="4"/>
      <c r="T29" s="4"/>
      <c r="U29" s="4"/>
      <c r="V29" s="4"/>
      <c r="W29" s="4"/>
      <c r="X29" s="4"/>
      <c r="Y29" s="4"/>
      <c r="Z29" s="4"/>
    </row>
    <row r="30" ht="15.75" customHeight="1">
      <c r="A30" s="23" t="s">
        <v>156</v>
      </c>
      <c r="B30" s="24">
        <f t="shared" si="1"/>
        <v>406323.88</v>
      </c>
      <c r="C30" s="92">
        <f t="shared" si="2"/>
        <v>0.3595568874</v>
      </c>
      <c r="D30" s="4"/>
      <c r="E30" s="4"/>
      <c r="F30" s="4"/>
      <c r="G30" s="4"/>
      <c r="H30" s="4"/>
      <c r="I30" s="4"/>
      <c r="J30" s="4"/>
      <c r="K30" s="4"/>
      <c r="L30" s="4"/>
      <c r="M30" s="4"/>
      <c r="N30" s="4"/>
      <c r="O30" s="4"/>
      <c r="P30" s="4"/>
      <c r="Q30" s="4"/>
      <c r="R30" s="4"/>
      <c r="S30" s="4"/>
      <c r="T30" s="4"/>
      <c r="U30" s="4"/>
      <c r="V30" s="4"/>
      <c r="W30" s="4"/>
      <c r="X30" s="4"/>
      <c r="Y30" s="4"/>
      <c r="Z30" s="4"/>
    </row>
    <row r="31" ht="15.75" customHeight="1">
      <c r="A31" s="23" t="s">
        <v>162</v>
      </c>
      <c r="B31" s="24">
        <f>B17+B18</f>
        <v>284682.6</v>
      </c>
      <c r="C31" s="92">
        <f t="shared" si="2"/>
        <v>0.2519162535</v>
      </c>
      <c r="D31" s="4"/>
      <c r="E31" s="4"/>
      <c r="F31" s="4"/>
      <c r="G31" s="4"/>
      <c r="H31" s="4"/>
      <c r="I31" s="4"/>
      <c r="J31" s="4"/>
      <c r="K31" s="4"/>
      <c r="L31" s="4"/>
      <c r="M31" s="4"/>
      <c r="N31" s="4"/>
      <c r="O31" s="4"/>
      <c r="P31" s="4"/>
      <c r="Q31" s="4"/>
      <c r="R31" s="4"/>
      <c r="S31" s="4"/>
      <c r="T31" s="4"/>
      <c r="U31" s="4"/>
      <c r="V31" s="4"/>
      <c r="W31" s="4"/>
      <c r="X31" s="4"/>
      <c r="Y31" s="4"/>
      <c r="Z31" s="4"/>
    </row>
    <row r="32" ht="15.75" customHeight="1">
      <c r="A32" s="23" t="s">
        <v>165</v>
      </c>
      <c r="B32" s="24">
        <f>'Net Worth 7 Jul 2026'!B35</f>
        <v>54971.04</v>
      </c>
      <c r="C32" s="93">
        <f>'Net Worth 7 Jul 2026'!B35/'Net Worth 7 Jul 2026'!B32</f>
        <v>0.04483007931</v>
      </c>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30.0" customHeight="1">
      <c r="A34" s="97" t="s">
        <v>170</v>
      </c>
      <c r="B34" s="98"/>
      <c r="C34" s="98"/>
      <c r="D34" s="98"/>
      <c r="E34" s="98"/>
      <c r="F34" s="98"/>
      <c r="G34" s="98"/>
      <c r="H34" s="100"/>
      <c r="I34" s="4"/>
      <c r="J34" s="4"/>
      <c r="K34" s="4"/>
      <c r="L34" s="4"/>
      <c r="M34" s="4"/>
      <c r="N34" s="4"/>
      <c r="O34" s="4"/>
      <c r="P34" s="4"/>
      <c r="Q34" s="4"/>
      <c r="R34" s="4"/>
      <c r="S34" s="4"/>
      <c r="T34" s="4"/>
      <c r="U34" s="4"/>
      <c r="V34" s="4"/>
      <c r="W34" s="4"/>
      <c r="X34" s="4"/>
      <c r="Y34" s="4"/>
      <c r="Z34" s="4"/>
    </row>
    <row r="35" ht="15.75" customHeight="1">
      <c r="A35" s="101"/>
      <c r="B35" s="102"/>
      <c r="C35" s="102"/>
      <c r="D35" s="102"/>
      <c r="E35" s="102"/>
      <c r="F35" s="102"/>
      <c r="G35" s="102"/>
      <c r="H35" s="103"/>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9.5" customHeight="1">
      <c r="A37" s="14" t="s">
        <v>175</v>
      </c>
      <c r="B37" s="15"/>
      <c r="C37" s="15"/>
      <c r="D37" s="15"/>
      <c r="E37" s="15"/>
      <c r="F37" s="15"/>
      <c r="G37" s="15"/>
      <c r="H37" s="15"/>
      <c r="I37" s="4"/>
      <c r="J37" s="4"/>
      <c r="K37" s="4"/>
      <c r="L37" s="4"/>
      <c r="M37" s="4"/>
      <c r="N37" s="4"/>
      <c r="O37" s="4"/>
      <c r="P37" s="4"/>
      <c r="Q37" s="4"/>
      <c r="R37" s="4"/>
      <c r="S37" s="4"/>
      <c r="T37" s="4"/>
      <c r="U37" s="4"/>
      <c r="V37" s="4"/>
      <c r="W37" s="4"/>
      <c r="X37" s="4"/>
      <c r="Y37" s="4"/>
      <c r="Z37" s="4"/>
    </row>
    <row r="38" ht="15.75" customHeight="1">
      <c r="A38" s="105" t="s">
        <v>178</v>
      </c>
      <c r="B38" s="110">
        <f>'Cashflow Budget FY27'!D164</f>
        <v>459183.71</v>
      </c>
      <c r="C38" s="112" t="s">
        <v>180</v>
      </c>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30.0" customHeight="1">
      <c r="A40" s="117" t="s">
        <v>188</v>
      </c>
      <c r="B40" s="117" t="s">
        <v>189</v>
      </c>
      <c r="C40" s="117" t="s">
        <v>190</v>
      </c>
      <c r="D40" s="117" t="s">
        <v>193</v>
      </c>
      <c r="E40" s="117" t="s">
        <v>194</v>
      </c>
      <c r="F40" s="117" t="s">
        <v>195</v>
      </c>
      <c r="G40" s="117" t="s">
        <v>196</v>
      </c>
      <c r="H40" s="117" t="s">
        <v>197</v>
      </c>
      <c r="I40" s="4"/>
      <c r="J40" s="4"/>
      <c r="K40" s="4"/>
      <c r="L40" s="4"/>
      <c r="M40" s="4"/>
      <c r="N40" s="4"/>
      <c r="O40" s="4"/>
      <c r="P40" s="4"/>
      <c r="Q40" s="4"/>
      <c r="R40" s="4"/>
      <c r="S40" s="4"/>
      <c r="T40" s="4"/>
      <c r="U40" s="4"/>
      <c r="V40" s="4"/>
      <c r="W40" s="4"/>
      <c r="X40" s="4"/>
      <c r="Y40" s="4"/>
      <c r="Z40" s="4"/>
    </row>
    <row r="41" ht="15.75" customHeight="1">
      <c r="A41" s="23" t="s">
        <v>200</v>
      </c>
      <c r="B41" s="120">
        <v>-8250.0</v>
      </c>
      <c r="C41" s="120">
        <v>-8100.0</v>
      </c>
      <c r="D41" s="120">
        <v>0.0</v>
      </c>
      <c r="E41" s="122">
        <f t="shared" ref="E41:E45" si="3">B41+C41+D41</f>
        <v>-16350</v>
      </c>
      <c r="F41" s="124">
        <f t="shared" ref="F41:F45" si="4">IF(E41&gt;=0,"Cash-positive",ROUND(-$B$38/E41,1))</f>
        <v>28.1</v>
      </c>
      <c r="G41" s="125">
        <f t="shared" ref="G41:G45" si="5">IF(E41&gt;=0,"— (accumulating)",EDATE(DATE(2026,10,1),ROUND(-$B$38/E41,0)))</f>
        <v>47150</v>
      </c>
      <c r="H41" s="21" t="s">
        <v>209</v>
      </c>
      <c r="I41" s="4"/>
      <c r="J41" s="4"/>
      <c r="K41" s="4"/>
      <c r="L41" s="4"/>
      <c r="M41" s="4"/>
      <c r="N41" s="4"/>
      <c r="O41" s="4"/>
      <c r="P41" s="4"/>
      <c r="Q41" s="4"/>
      <c r="R41" s="4"/>
      <c r="S41" s="4"/>
      <c r="T41" s="4"/>
      <c r="U41" s="4"/>
      <c r="V41" s="4"/>
      <c r="W41" s="4"/>
      <c r="X41" s="4"/>
      <c r="Y41" s="4"/>
      <c r="Z41" s="4"/>
    </row>
    <row r="42" ht="15.75" customHeight="1">
      <c r="A42" s="23" t="s">
        <v>213</v>
      </c>
      <c r="B42" s="120">
        <v>-6230.0</v>
      </c>
      <c r="C42" s="120">
        <v>-8100.0</v>
      </c>
      <c r="D42" s="120">
        <v>0.0</v>
      </c>
      <c r="E42" s="122">
        <f t="shared" si="3"/>
        <v>-14330</v>
      </c>
      <c r="F42" s="124">
        <f t="shared" si="4"/>
        <v>32</v>
      </c>
      <c r="G42" s="125">
        <f t="shared" si="5"/>
        <v>47270</v>
      </c>
      <c r="H42" s="21" t="s">
        <v>217</v>
      </c>
      <c r="I42" s="4"/>
      <c r="J42" s="4"/>
      <c r="K42" s="4"/>
      <c r="L42" s="4"/>
      <c r="M42" s="4"/>
      <c r="N42" s="4"/>
      <c r="O42" s="4"/>
      <c r="P42" s="4"/>
      <c r="Q42" s="4"/>
      <c r="R42" s="4"/>
      <c r="S42" s="4"/>
      <c r="T42" s="4"/>
      <c r="U42" s="4"/>
      <c r="V42" s="4"/>
      <c r="W42" s="4"/>
      <c r="X42" s="4"/>
      <c r="Y42" s="4"/>
      <c r="Z42" s="4"/>
    </row>
    <row r="43" ht="15.75" customHeight="1">
      <c r="A43" s="23" t="s">
        <v>218</v>
      </c>
      <c r="B43" s="120">
        <v>-4530.0</v>
      </c>
      <c r="C43" s="120">
        <v>-8100.0</v>
      </c>
      <c r="D43" s="120">
        <v>0.0</v>
      </c>
      <c r="E43" s="122">
        <f t="shared" si="3"/>
        <v>-12630</v>
      </c>
      <c r="F43" s="124">
        <f t="shared" si="4"/>
        <v>36.4</v>
      </c>
      <c r="G43" s="125">
        <f t="shared" si="5"/>
        <v>47392</v>
      </c>
      <c r="H43" s="21" t="s">
        <v>220</v>
      </c>
      <c r="I43" s="4"/>
      <c r="J43" s="4"/>
      <c r="K43" s="4"/>
      <c r="L43" s="4"/>
      <c r="M43" s="4"/>
      <c r="N43" s="4"/>
      <c r="O43" s="4"/>
      <c r="P43" s="4"/>
      <c r="Q43" s="4"/>
      <c r="R43" s="4"/>
      <c r="S43" s="4"/>
      <c r="T43" s="4"/>
      <c r="U43" s="4"/>
      <c r="V43" s="4"/>
      <c r="W43" s="4"/>
      <c r="X43" s="4"/>
      <c r="Y43" s="4"/>
      <c r="Z43" s="4"/>
    </row>
    <row r="44" ht="15.75" customHeight="1">
      <c r="A44" s="23" t="s">
        <v>222</v>
      </c>
      <c r="B44" s="120">
        <v>-4530.0</v>
      </c>
      <c r="C44" s="120">
        <v>-8100.0</v>
      </c>
      <c r="D44" s="120">
        <v>5000.0</v>
      </c>
      <c r="E44" s="122">
        <f t="shared" si="3"/>
        <v>-7630</v>
      </c>
      <c r="F44" s="124">
        <f t="shared" si="4"/>
        <v>60.2</v>
      </c>
      <c r="G44" s="125">
        <f t="shared" si="5"/>
        <v>48122</v>
      </c>
      <c r="H44" s="21" t="s">
        <v>225</v>
      </c>
      <c r="I44" s="4"/>
      <c r="J44" s="4"/>
      <c r="K44" s="4"/>
      <c r="L44" s="4"/>
      <c r="M44" s="4"/>
      <c r="N44" s="4"/>
      <c r="O44" s="4"/>
      <c r="P44" s="4"/>
      <c r="Q44" s="4"/>
      <c r="R44" s="4"/>
      <c r="S44" s="4"/>
      <c r="T44" s="4"/>
      <c r="U44" s="4"/>
      <c r="V44" s="4"/>
      <c r="W44" s="4"/>
      <c r="X44" s="4"/>
      <c r="Y44" s="4"/>
      <c r="Z44" s="4"/>
    </row>
    <row r="45" ht="15.75" customHeight="1">
      <c r="A45" s="23" t="s">
        <v>227</v>
      </c>
      <c r="B45" s="120">
        <v>-4530.0</v>
      </c>
      <c r="C45" s="120">
        <v>-8100.0</v>
      </c>
      <c r="D45" s="120">
        <v>34400.0</v>
      </c>
      <c r="E45" s="122">
        <f t="shared" si="3"/>
        <v>21770</v>
      </c>
      <c r="F45" s="124" t="str">
        <f t="shared" si="4"/>
        <v>Cash-positive</v>
      </c>
      <c r="G45" s="125" t="str">
        <f t="shared" si="5"/>
        <v>— (accumulating)</v>
      </c>
      <c r="H45" s="21" t="s">
        <v>230</v>
      </c>
      <c r="I45" s="4"/>
      <c r="J45" s="4"/>
      <c r="K45" s="4"/>
      <c r="L45" s="4"/>
      <c r="M45" s="4"/>
      <c r="N45" s="4"/>
      <c r="O45" s="4"/>
      <c r="P45" s="4"/>
      <c r="Q45" s="4"/>
      <c r="R45" s="4"/>
      <c r="S45" s="4"/>
      <c r="T45" s="4"/>
      <c r="U45" s="4"/>
      <c r="V45" s="4"/>
      <c r="W45" s="4"/>
      <c r="X45" s="4"/>
      <c r="Y45" s="4"/>
      <c r="Z45" s="4"/>
    </row>
    <row r="46" ht="15.75" customHeight="1">
      <c r="A46" s="129" t="s">
        <v>232</v>
      </c>
      <c r="I46" s="4"/>
      <c r="J46" s="4"/>
      <c r="K46" s="4"/>
      <c r="L46" s="4"/>
      <c r="M46" s="4"/>
      <c r="N46" s="4"/>
      <c r="O46" s="4"/>
      <c r="P46" s="4"/>
      <c r="Q46" s="4"/>
      <c r="R46" s="4"/>
      <c r="S46" s="4"/>
      <c r="T46" s="4"/>
      <c r="U46" s="4"/>
      <c r="V46" s="4"/>
      <c r="W46" s="4"/>
      <c r="X46" s="4"/>
      <c r="Y46" s="4"/>
      <c r="Z46" s="4"/>
    </row>
    <row r="47" ht="27.75" customHeight="1">
      <c r="A47" s="129" t="s">
        <v>233</v>
      </c>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6" t="s">
        <v>237</v>
      </c>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H1"/>
    <mergeCell ref="A2:H2"/>
    <mergeCell ref="A34:H35"/>
    <mergeCell ref="A46:H46"/>
    <mergeCell ref="A47:H47"/>
    <mergeCell ref="A49:H49"/>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Row="1"/>
  <cols>
    <col customWidth="1" min="1" max="1" width="44.0"/>
    <col customWidth="1" min="2" max="2" width="18.0"/>
    <col customWidth="1" min="3" max="3" width="12.0"/>
    <col customWidth="1" min="4" max="4" width="14.0"/>
    <col customWidth="1" min="5" max="5" width="58.0"/>
    <col customWidth="1" min="6" max="6" width="14.0"/>
  </cols>
  <sheetData>
    <row r="1">
      <c r="A1" s="1" t="s">
        <v>2</v>
      </c>
      <c r="B1" s="2"/>
      <c r="C1" s="2"/>
      <c r="D1" s="2"/>
      <c r="E1" s="3"/>
      <c r="F1" s="4"/>
      <c r="G1" s="4"/>
      <c r="H1" s="4"/>
      <c r="I1" s="4"/>
      <c r="J1" s="4"/>
      <c r="K1" s="4"/>
      <c r="L1" s="4"/>
      <c r="M1" s="4"/>
      <c r="N1" s="4"/>
      <c r="O1" s="4"/>
      <c r="P1" s="4"/>
      <c r="Q1" s="4"/>
      <c r="R1" s="4"/>
      <c r="S1" s="4"/>
      <c r="T1" s="4"/>
      <c r="U1" s="4"/>
      <c r="V1" s="4"/>
      <c r="W1" s="4"/>
      <c r="X1" s="4"/>
      <c r="Y1" s="4"/>
      <c r="Z1" s="4"/>
    </row>
    <row r="2">
      <c r="A2" s="6" t="s">
        <v>8</v>
      </c>
      <c r="F2" s="4"/>
      <c r="G2" s="4"/>
      <c r="H2" s="4"/>
      <c r="I2" s="4"/>
      <c r="J2" s="4"/>
      <c r="K2" s="4"/>
      <c r="L2" s="4"/>
      <c r="M2" s="4"/>
      <c r="N2" s="4"/>
      <c r="O2" s="4"/>
      <c r="P2" s="4"/>
      <c r="Q2" s="4"/>
      <c r="R2" s="4"/>
      <c r="S2" s="4"/>
      <c r="T2" s="4"/>
      <c r="U2" s="4"/>
      <c r="V2" s="4"/>
      <c r="W2" s="4"/>
      <c r="X2" s="4"/>
      <c r="Y2" s="4"/>
      <c r="Z2" s="4"/>
    </row>
    <row r="3">
      <c r="A3" s="11" t="s">
        <v>13</v>
      </c>
      <c r="B3" s="16" t="s">
        <v>14</v>
      </c>
      <c r="C3" s="16" t="s">
        <v>15</v>
      </c>
      <c r="D3" s="16" t="s">
        <v>16</v>
      </c>
      <c r="E3" s="18" t="s">
        <v>17</v>
      </c>
      <c r="F3" s="20" t="s">
        <v>22</v>
      </c>
      <c r="G3" s="4"/>
      <c r="H3" s="4"/>
      <c r="I3" s="4"/>
      <c r="J3" s="4"/>
      <c r="K3" s="4"/>
      <c r="L3" s="4"/>
      <c r="M3" s="4"/>
      <c r="N3" s="4"/>
      <c r="O3" s="4"/>
      <c r="P3" s="4"/>
      <c r="Q3" s="4"/>
      <c r="R3" s="4"/>
      <c r="S3" s="4"/>
      <c r="T3" s="4"/>
      <c r="U3" s="4"/>
      <c r="V3" s="4"/>
      <c r="W3" s="4"/>
      <c r="X3" s="4"/>
      <c r="Y3" s="4"/>
      <c r="Z3" s="4"/>
    </row>
    <row r="4">
      <c r="A4" s="11" t="s">
        <v>28</v>
      </c>
      <c r="B4" s="22"/>
      <c r="C4" s="22"/>
      <c r="D4" s="22"/>
      <c r="E4" s="22"/>
      <c r="F4" s="4"/>
      <c r="G4" s="4"/>
      <c r="H4" s="4"/>
      <c r="I4" s="4"/>
      <c r="J4" s="4"/>
      <c r="K4" s="4"/>
      <c r="L4" s="4"/>
      <c r="M4" s="4"/>
      <c r="N4" s="4"/>
      <c r="O4" s="4"/>
      <c r="P4" s="4"/>
      <c r="Q4" s="4"/>
      <c r="R4" s="4"/>
      <c r="S4" s="4"/>
      <c r="T4" s="4"/>
      <c r="U4" s="4"/>
      <c r="V4" s="4"/>
      <c r="W4" s="4"/>
      <c r="X4" s="4"/>
      <c r="Y4" s="4"/>
      <c r="Z4" s="4"/>
    </row>
    <row r="5">
      <c r="A5" s="25" t="s">
        <v>32</v>
      </c>
      <c r="B5" s="26"/>
      <c r="C5" s="26"/>
      <c r="D5" s="26"/>
      <c r="E5" s="26"/>
      <c r="F5" s="4"/>
      <c r="G5" s="4"/>
      <c r="H5" s="4"/>
      <c r="I5" s="4"/>
      <c r="J5" s="4"/>
      <c r="K5" s="4"/>
      <c r="L5" s="4"/>
      <c r="M5" s="4"/>
      <c r="N5" s="4"/>
      <c r="O5" s="4"/>
      <c r="P5" s="4"/>
      <c r="Q5" s="4"/>
      <c r="R5" s="4"/>
      <c r="S5" s="4"/>
      <c r="T5" s="4"/>
      <c r="U5" s="4"/>
      <c r="V5" s="4"/>
      <c r="W5" s="4"/>
      <c r="X5" s="4"/>
      <c r="Y5" s="4"/>
      <c r="Z5" s="4"/>
    </row>
    <row r="6" outlineLevel="1">
      <c r="A6" s="30" t="s">
        <v>37</v>
      </c>
      <c r="B6" s="32">
        <v>52922.84</v>
      </c>
      <c r="C6" s="33">
        <v>46210.0</v>
      </c>
      <c r="D6" s="34" t="s">
        <v>38</v>
      </c>
      <c r="E6" s="35" t="s">
        <v>39</v>
      </c>
      <c r="F6" s="36">
        <f t="shared" ref="F6:F8" si="1">B6/$B$24</f>
        <v>0.01946469897</v>
      </c>
      <c r="G6" s="4"/>
      <c r="H6" s="4"/>
      <c r="I6" s="4"/>
      <c r="J6" s="4"/>
      <c r="K6" s="4"/>
      <c r="L6" s="4"/>
      <c r="M6" s="4"/>
      <c r="N6" s="4"/>
      <c r="O6" s="4"/>
      <c r="P6" s="4"/>
      <c r="Q6" s="4"/>
      <c r="R6" s="4"/>
      <c r="S6" s="4"/>
      <c r="T6" s="4"/>
      <c r="U6" s="4"/>
      <c r="V6" s="4"/>
      <c r="W6" s="4"/>
      <c r="X6" s="4"/>
      <c r="Y6" s="4"/>
      <c r="Z6" s="4"/>
    </row>
    <row r="7" outlineLevel="1">
      <c r="A7" s="30" t="s">
        <v>43</v>
      </c>
      <c r="B7" s="32">
        <v>1995.93</v>
      </c>
      <c r="C7" s="33">
        <v>46210.0</v>
      </c>
      <c r="D7" s="34" t="s">
        <v>38</v>
      </c>
      <c r="E7" s="35" t="s">
        <v>47</v>
      </c>
      <c r="F7" s="36">
        <f t="shared" si="1"/>
        <v>0.0007340909258</v>
      </c>
      <c r="G7" s="4"/>
      <c r="H7" s="4"/>
      <c r="I7" s="4"/>
      <c r="J7" s="4"/>
      <c r="K7" s="4"/>
      <c r="L7" s="4"/>
      <c r="M7" s="4"/>
      <c r="N7" s="4"/>
      <c r="O7" s="4"/>
      <c r="P7" s="4"/>
      <c r="Q7" s="4"/>
      <c r="R7" s="4"/>
      <c r="S7" s="4"/>
      <c r="T7" s="4"/>
      <c r="U7" s="4"/>
      <c r="V7" s="4"/>
      <c r="W7" s="4"/>
      <c r="X7" s="4"/>
      <c r="Y7" s="4"/>
      <c r="Z7" s="4"/>
    </row>
    <row r="8" outlineLevel="1">
      <c r="A8" s="30" t="s">
        <v>65</v>
      </c>
      <c r="B8" s="32">
        <v>52.27</v>
      </c>
      <c r="C8" s="33">
        <v>46210.0</v>
      </c>
      <c r="D8" s="34" t="s">
        <v>38</v>
      </c>
      <c r="E8" s="35" t="s">
        <v>47</v>
      </c>
      <c r="F8" s="36">
        <f t="shared" si="1"/>
        <v>0.00001922458838</v>
      </c>
      <c r="G8" s="4"/>
      <c r="H8" s="4"/>
      <c r="I8" s="4"/>
      <c r="J8" s="4"/>
      <c r="K8" s="4"/>
      <c r="L8" s="4"/>
      <c r="M8" s="4"/>
      <c r="N8" s="4"/>
      <c r="O8" s="4"/>
      <c r="P8" s="4"/>
      <c r="Q8" s="4"/>
      <c r="R8" s="4"/>
      <c r="S8" s="4"/>
      <c r="T8" s="4"/>
      <c r="U8" s="4"/>
      <c r="V8" s="4"/>
      <c r="W8" s="4"/>
      <c r="X8" s="4"/>
      <c r="Y8" s="4"/>
      <c r="Z8" s="4"/>
    </row>
    <row r="9" outlineLevel="1">
      <c r="A9" s="45"/>
      <c r="B9" s="46">
        <v>0.0</v>
      </c>
      <c r="C9" s="48"/>
      <c r="D9" s="50"/>
      <c r="E9" s="53"/>
      <c r="F9" s="54"/>
      <c r="G9" s="4"/>
      <c r="H9" s="4"/>
      <c r="I9" s="4"/>
      <c r="J9" s="4"/>
      <c r="K9" s="4"/>
      <c r="L9" s="4"/>
      <c r="M9" s="4"/>
      <c r="N9" s="4"/>
      <c r="O9" s="4"/>
      <c r="P9" s="4"/>
      <c r="Q9" s="4"/>
      <c r="R9" s="4"/>
      <c r="S9" s="4"/>
      <c r="T9" s="4"/>
      <c r="U9" s="4"/>
      <c r="V9" s="4"/>
      <c r="W9" s="4"/>
      <c r="X9" s="4"/>
      <c r="Y9" s="4"/>
      <c r="Z9" s="4"/>
    </row>
    <row r="10" outlineLevel="1">
      <c r="A10" s="30" t="s">
        <v>83</v>
      </c>
      <c r="B10" s="32">
        <v>0.0</v>
      </c>
      <c r="C10" s="33">
        <v>46210.0</v>
      </c>
      <c r="D10" s="34" t="s">
        <v>38</v>
      </c>
      <c r="E10" s="35" t="s">
        <v>85</v>
      </c>
      <c r="F10" s="36">
        <f t="shared" ref="F10:F11" si="2">B10/$B$24</f>
        <v>0</v>
      </c>
      <c r="G10" s="4"/>
      <c r="H10" s="4"/>
      <c r="I10" s="4"/>
      <c r="J10" s="4"/>
      <c r="K10" s="4"/>
      <c r="L10" s="4"/>
      <c r="M10" s="4"/>
      <c r="N10" s="4"/>
      <c r="O10" s="4"/>
      <c r="P10" s="4"/>
      <c r="Q10" s="4"/>
      <c r="R10" s="4"/>
      <c r="S10" s="4"/>
      <c r="T10" s="4"/>
      <c r="U10" s="4"/>
      <c r="V10" s="4"/>
      <c r="W10" s="4"/>
      <c r="X10" s="4"/>
      <c r="Y10" s="4"/>
      <c r="Z10" s="4"/>
    </row>
    <row r="11">
      <c r="A11" s="25" t="s">
        <v>91</v>
      </c>
      <c r="B11" s="55">
        <f>SUM(B6:B10)</f>
        <v>54971.04</v>
      </c>
      <c r="C11" s="56"/>
      <c r="D11" s="58" t="s">
        <v>38</v>
      </c>
      <c r="E11" s="59" t="s">
        <v>94</v>
      </c>
      <c r="F11" s="61">
        <f t="shared" si="2"/>
        <v>0.02021801448</v>
      </c>
      <c r="G11" s="4"/>
      <c r="H11" s="4"/>
      <c r="I11" s="4"/>
      <c r="J11" s="4"/>
      <c r="K11" s="4"/>
      <c r="L11" s="4"/>
      <c r="M11" s="4"/>
      <c r="N11" s="4"/>
      <c r="O11" s="4"/>
      <c r="P11" s="4"/>
      <c r="Q11" s="4"/>
      <c r="R11" s="4"/>
      <c r="S11" s="4"/>
      <c r="T11" s="4"/>
      <c r="U11" s="4"/>
      <c r="V11" s="4"/>
      <c r="W11" s="4"/>
      <c r="X11" s="4"/>
      <c r="Y11" s="4"/>
      <c r="Z11" s="4"/>
    </row>
    <row r="12">
      <c r="A12" s="25" t="s">
        <v>98</v>
      </c>
      <c r="B12" s="26"/>
      <c r="C12" s="26"/>
      <c r="D12" s="26"/>
      <c r="E12" s="26"/>
      <c r="F12" s="4"/>
      <c r="G12" s="4"/>
      <c r="H12" s="4"/>
      <c r="I12" s="4"/>
      <c r="J12" s="4"/>
      <c r="K12" s="4"/>
      <c r="L12" s="4"/>
      <c r="M12" s="4"/>
      <c r="N12" s="4"/>
      <c r="O12" s="4"/>
      <c r="P12" s="4"/>
      <c r="Q12" s="4"/>
      <c r="R12" s="4"/>
      <c r="S12" s="4"/>
      <c r="T12" s="4"/>
      <c r="U12" s="4"/>
      <c r="V12" s="4"/>
      <c r="W12" s="4"/>
      <c r="X12" s="4"/>
      <c r="Y12" s="4"/>
      <c r="Z12" s="4"/>
    </row>
    <row r="13">
      <c r="A13" s="30" t="s">
        <v>100</v>
      </c>
      <c r="B13" s="62">
        <v>1950000.0</v>
      </c>
      <c r="C13" s="33">
        <v>46202.0</v>
      </c>
      <c r="D13" s="34" t="s">
        <v>101</v>
      </c>
      <c r="E13" s="35" t="s">
        <v>103</v>
      </c>
      <c r="F13" s="64">
        <f>B13/$B$24</f>
        <v>0.7171981509</v>
      </c>
      <c r="G13" s="4"/>
      <c r="H13" s="4"/>
      <c r="I13" s="4"/>
      <c r="J13" s="4"/>
      <c r="K13" s="4"/>
      <c r="L13" s="4"/>
      <c r="M13" s="4"/>
      <c r="N13" s="4"/>
      <c r="O13" s="4"/>
      <c r="P13" s="4"/>
      <c r="Q13" s="4"/>
      <c r="R13" s="4"/>
      <c r="S13" s="4"/>
      <c r="T13" s="4"/>
      <c r="U13" s="4"/>
      <c r="V13" s="4"/>
      <c r="W13" s="4"/>
      <c r="X13" s="4"/>
      <c r="Y13" s="4"/>
      <c r="Z13" s="4"/>
    </row>
    <row r="14">
      <c r="A14" s="25" t="s">
        <v>106</v>
      </c>
      <c r="B14" s="26"/>
      <c r="C14" s="26"/>
      <c r="D14" s="26"/>
      <c r="E14" s="26"/>
      <c r="F14" s="4"/>
      <c r="G14" s="4"/>
      <c r="H14" s="4"/>
      <c r="I14" s="4"/>
      <c r="J14" s="4"/>
      <c r="K14" s="4"/>
      <c r="L14" s="4"/>
      <c r="M14" s="4"/>
      <c r="N14" s="4"/>
      <c r="O14" s="4"/>
      <c r="P14" s="4"/>
      <c r="Q14" s="4"/>
      <c r="R14" s="4"/>
      <c r="S14" s="4"/>
      <c r="T14" s="4"/>
      <c r="U14" s="4"/>
      <c r="V14" s="4"/>
      <c r="W14" s="4"/>
      <c r="X14" s="4"/>
      <c r="Y14" s="4"/>
      <c r="Z14" s="4"/>
    </row>
    <row r="15">
      <c r="A15" s="30" t="s">
        <v>110</v>
      </c>
      <c r="B15" s="32">
        <v>406323.88</v>
      </c>
      <c r="C15" s="33">
        <v>46209.0</v>
      </c>
      <c r="D15" s="34" t="s">
        <v>111</v>
      </c>
      <c r="E15" s="35" t="s">
        <v>112</v>
      </c>
      <c r="F15" s="36">
        <f>B15/$B$24</f>
        <v>0.1494434541</v>
      </c>
      <c r="G15" s="4"/>
      <c r="H15" s="4"/>
      <c r="I15" s="4"/>
      <c r="J15" s="4"/>
      <c r="K15" s="4"/>
      <c r="L15" s="4"/>
      <c r="M15" s="4"/>
      <c r="N15" s="4"/>
      <c r="O15" s="4"/>
      <c r="P15" s="4"/>
      <c r="Q15" s="4"/>
      <c r="R15" s="4"/>
      <c r="S15" s="4"/>
      <c r="T15" s="4"/>
      <c r="U15" s="4"/>
      <c r="V15" s="4"/>
      <c r="W15" s="4"/>
      <c r="X15" s="4"/>
      <c r="Y15" s="4"/>
      <c r="Z15" s="4"/>
    </row>
    <row r="16">
      <c r="A16" s="25" t="s">
        <v>114</v>
      </c>
      <c r="B16" s="26"/>
      <c r="C16" s="26"/>
      <c r="D16" s="26"/>
      <c r="E16" s="26"/>
      <c r="F16" s="4"/>
      <c r="G16" s="4"/>
      <c r="H16" s="4"/>
      <c r="I16" s="4"/>
      <c r="J16" s="4"/>
      <c r="K16" s="4"/>
      <c r="L16" s="4"/>
      <c r="M16" s="4"/>
      <c r="N16" s="4"/>
      <c r="O16" s="4"/>
      <c r="P16" s="4"/>
      <c r="Q16" s="4"/>
      <c r="R16" s="4"/>
      <c r="S16" s="4"/>
      <c r="T16" s="4"/>
      <c r="U16" s="4"/>
      <c r="V16" s="4"/>
      <c r="W16" s="4"/>
      <c r="X16" s="4"/>
      <c r="Y16" s="4"/>
      <c r="Z16" s="4"/>
    </row>
    <row r="17">
      <c r="A17" s="75" t="s">
        <v>116</v>
      </c>
      <c r="B17" s="26"/>
      <c r="C17" s="26"/>
      <c r="D17" s="26"/>
      <c r="E17" s="26"/>
      <c r="F17" s="4"/>
      <c r="G17" s="4"/>
      <c r="H17" s="4"/>
      <c r="I17" s="4"/>
      <c r="J17" s="4"/>
      <c r="K17" s="4"/>
      <c r="L17" s="4"/>
      <c r="M17" s="4"/>
      <c r="N17" s="4"/>
      <c r="O17" s="4"/>
      <c r="P17" s="4"/>
      <c r="Q17" s="4"/>
      <c r="R17" s="4"/>
      <c r="S17" s="4"/>
      <c r="T17" s="4"/>
      <c r="U17" s="4"/>
      <c r="V17" s="4"/>
      <c r="W17" s="4"/>
      <c r="X17" s="4"/>
      <c r="Y17" s="4"/>
      <c r="Z17" s="4"/>
    </row>
    <row r="18" outlineLevel="1">
      <c r="A18" s="30" t="s">
        <v>121</v>
      </c>
      <c r="B18" s="32">
        <v>103285.02</v>
      </c>
      <c r="C18" s="33">
        <v>46209.0</v>
      </c>
      <c r="D18" s="34" t="s">
        <v>111</v>
      </c>
      <c r="E18" s="35" t="s">
        <v>122</v>
      </c>
      <c r="F18" s="36">
        <f t="shared" ref="F18:F23" si="3">B18/$B$24</f>
        <v>0.03798760275</v>
      </c>
      <c r="G18" s="4"/>
      <c r="H18" s="4"/>
      <c r="I18" s="4"/>
      <c r="J18" s="4"/>
      <c r="K18" s="4"/>
      <c r="L18" s="4"/>
      <c r="M18" s="4"/>
      <c r="N18" s="4"/>
      <c r="O18" s="4"/>
      <c r="P18" s="4"/>
      <c r="Q18" s="4"/>
      <c r="R18" s="4"/>
      <c r="S18" s="4"/>
      <c r="T18" s="4"/>
      <c r="U18" s="4"/>
      <c r="V18" s="4"/>
      <c r="W18" s="4"/>
      <c r="X18" s="4"/>
      <c r="Y18" s="4"/>
      <c r="Z18" s="4"/>
    </row>
    <row r="19" outlineLevel="1">
      <c r="A19" s="30" t="s">
        <v>124</v>
      </c>
      <c r="B19" s="32">
        <v>14.49</v>
      </c>
      <c r="C19" s="33">
        <v>46210.0</v>
      </c>
      <c r="D19" s="34" t="s">
        <v>111</v>
      </c>
      <c r="E19" s="35" t="s">
        <v>127</v>
      </c>
      <c r="F19" s="36">
        <f t="shared" si="3"/>
        <v>0.000005329333952</v>
      </c>
      <c r="G19" s="4"/>
      <c r="H19" s="4"/>
      <c r="I19" s="4"/>
      <c r="J19" s="4"/>
      <c r="K19" s="4"/>
      <c r="L19" s="4"/>
      <c r="M19" s="4"/>
      <c r="N19" s="4"/>
      <c r="O19" s="4"/>
      <c r="P19" s="4"/>
      <c r="Q19" s="4"/>
      <c r="R19" s="4"/>
      <c r="S19" s="4"/>
      <c r="T19" s="4"/>
      <c r="U19" s="4"/>
      <c r="V19" s="4"/>
      <c r="W19" s="4"/>
      <c r="X19" s="4"/>
      <c r="Y19" s="4"/>
      <c r="Z19" s="4"/>
    </row>
    <row r="20" outlineLevel="1">
      <c r="A20" s="30" t="s">
        <v>129</v>
      </c>
      <c r="B20" s="81">
        <v>190575.34</v>
      </c>
      <c r="C20" s="33">
        <v>45792.0</v>
      </c>
      <c r="D20" s="34" t="s">
        <v>131</v>
      </c>
      <c r="E20" s="84" t="s">
        <v>132</v>
      </c>
      <c r="F20" s="85">
        <f t="shared" si="3"/>
        <v>0.07009245203</v>
      </c>
      <c r="G20" s="4"/>
      <c r="H20" s="4"/>
      <c r="I20" s="4"/>
      <c r="J20" s="4"/>
      <c r="K20" s="4"/>
      <c r="L20" s="4"/>
      <c r="M20" s="4"/>
      <c r="N20" s="4"/>
      <c r="O20" s="4"/>
      <c r="P20" s="4"/>
      <c r="Q20" s="4"/>
      <c r="R20" s="4"/>
      <c r="S20" s="4"/>
      <c r="T20" s="4"/>
      <c r="U20" s="4"/>
      <c r="V20" s="4"/>
      <c r="W20" s="4"/>
      <c r="X20" s="4"/>
      <c r="Y20" s="4"/>
      <c r="Z20" s="4"/>
    </row>
    <row r="21" ht="15.75" customHeight="1">
      <c r="A21" s="25" t="s">
        <v>135</v>
      </c>
      <c r="B21" s="55">
        <f>SUM(B18:B20)</f>
        <v>293874.85</v>
      </c>
      <c r="C21" s="56"/>
      <c r="D21" s="58" t="s">
        <v>131</v>
      </c>
      <c r="E21" s="59" t="s">
        <v>138</v>
      </c>
      <c r="F21" s="61">
        <f t="shared" si="3"/>
        <v>0.1080853841</v>
      </c>
      <c r="G21" s="4"/>
      <c r="H21" s="4"/>
      <c r="I21" s="4"/>
      <c r="J21" s="4"/>
      <c r="K21" s="4"/>
      <c r="L21" s="4"/>
      <c r="M21" s="4"/>
      <c r="N21" s="4"/>
      <c r="O21" s="4"/>
      <c r="P21" s="4"/>
      <c r="Q21" s="4"/>
      <c r="R21" s="4"/>
      <c r="S21" s="4"/>
      <c r="T21" s="4"/>
      <c r="U21" s="4"/>
      <c r="V21" s="4"/>
      <c r="W21" s="4"/>
      <c r="X21" s="4"/>
      <c r="Y21" s="4"/>
      <c r="Z21" s="4"/>
    </row>
    <row r="22" ht="15.75" customHeight="1">
      <c r="A22" s="30" t="s">
        <v>140</v>
      </c>
      <c r="B22" s="81">
        <v>13744.1</v>
      </c>
      <c r="C22" s="33">
        <v>46210.0</v>
      </c>
      <c r="D22" s="34" t="s">
        <v>131</v>
      </c>
      <c r="E22" s="84" t="s">
        <v>141</v>
      </c>
      <c r="F22" s="85">
        <f t="shared" si="3"/>
        <v>0.005054996464</v>
      </c>
      <c r="G22" s="4"/>
      <c r="H22" s="4"/>
      <c r="I22" s="4"/>
      <c r="J22" s="4"/>
      <c r="K22" s="4"/>
      <c r="L22" s="4"/>
      <c r="M22" s="4"/>
      <c r="N22" s="4"/>
      <c r="O22" s="4"/>
      <c r="P22" s="4"/>
      <c r="Q22" s="4"/>
      <c r="R22" s="4"/>
      <c r="S22" s="4"/>
      <c r="T22" s="4"/>
      <c r="U22" s="4"/>
      <c r="V22" s="4"/>
      <c r="W22" s="4"/>
      <c r="X22" s="4"/>
      <c r="Y22" s="4"/>
      <c r="Z22" s="4"/>
    </row>
    <row r="23" ht="15.75" customHeight="1">
      <c r="A23" s="25" t="s">
        <v>145</v>
      </c>
      <c r="B23" s="55">
        <f>B21+B22</f>
        <v>307618.95</v>
      </c>
      <c r="C23" s="56"/>
      <c r="D23" s="58" t="s">
        <v>131</v>
      </c>
      <c r="E23" s="59" t="s">
        <v>146</v>
      </c>
      <c r="F23" s="61">
        <f t="shared" si="3"/>
        <v>0.1131403806</v>
      </c>
      <c r="G23" s="4"/>
      <c r="H23" s="4"/>
      <c r="I23" s="4"/>
      <c r="J23" s="4"/>
      <c r="K23" s="4"/>
      <c r="L23" s="4"/>
      <c r="M23" s="4"/>
      <c r="N23" s="4"/>
      <c r="O23" s="4"/>
      <c r="P23" s="4"/>
      <c r="Q23" s="4"/>
      <c r="R23" s="4"/>
      <c r="S23" s="4"/>
      <c r="T23" s="4"/>
      <c r="U23" s="4"/>
      <c r="V23" s="4"/>
      <c r="W23" s="4"/>
      <c r="X23" s="4"/>
      <c r="Y23" s="4"/>
      <c r="Z23" s="4"/>
    </row>
    <row r="24" ht="15.75" customHeight="1">
      <c r="A24" s="86" t="s">
        <v>150</v>
      </c>
      <c r="B24" s="87">
        <f>B11+B13+B15+B23</f>
        <v>2718913.87</v>
      </c>
      <c r="C24" s="88"/>
      <c r="D24" s="90"/>
      <c r="E24" s="91" t="s">
        <v>153</v>
      </c>
      <c r="F24" s="4"/>
      <c r="G24" s="4"/>
      <c r="H24" s="4"/>
      <c r="I24" s="4"/>
      <c r="J24" s="4"/>
      <c r="K24" s="4"/>
      <c r="L24" s="4"/>
      <c r="M24" s="4"/>
      <c r="N24" s="4"/>
      <c r="O24" s="4"/>
      <c r="P24" s="4"/>
      <c r="Q24" s="4"/>
      <c r="R24" s="4"/>
      <c r="S24" s="4"/>
      <c r="T24" s="4"/>
      <c r="U24" s="4"/>
      <c r="V24" s="4"/>
      <c r="W24" s="4"/>
      <c r="X24" s="4"/>
      <c r="Y24" s="4"/>
      <c r="Z24" s="4"/>
    </row>
    <row r="25" ht="15.75" customHeight="1">
      <c r="A25" s="11" t="s">
        <v>155</v>
      </c>
      <c r="B25" s="22"/>
      <c r="C25" s="22"/>
      <c r="D25" s="22"/>
      <c r="E25" s="22"/>
      <c r="F25" s="4"/>
      <c r="G25" s="4"/>
      <c r="H25" s="4"/>
      <c r="I25" s="4"/>
      <c r="J25" s="4"/>
      <c r="K25" s="4"/>
      <c r="L25" s="4"/>
      <c r="M25" s="4"/>
      <c r="N25" s="4"/>
      <c r="O25" s="4"/>
      <c r="P25" s="4"/>
      <c r="Q25" s="4"/>
      <c r="R25" s="4"/>
      <c r="S25" s="4"/>
      <c r="T25" s="4"/>
      <c r="U25" s="4"/>
      <c r="V25" s="4"/>
      <c r="W25" s="4"/>
      <c r="X25" s="4"/>
      <c r="Y25" s="4"/>
      <c r="Z25" s="4"/>
    </row>
    <row r="26" ht="15.75" customHeight="1" outlineLevel="1">
      <c r="A26" s="30" t="s">
        <v>158</v>
      </c>
      <c r="B26" s="32">
        <v>-1457705.02</v>
      </c>
      <c r="C26" s="33">
        <v>46210.0</v>
      </c>
      <c r="D26" s="34" t="s">
        <v>159</v>
      </c>
      <c r="E26" s="35" t="s">
        <v>161</v>
      </c>
      <c r="F26" s="4"/>
      <c r="G26" s="4"/>
      <c r="H26" s="4"/>
      <c r="I26" s="4"/>
      <c r="J26" s="4"/>
      <c r="K26" s="4"/>
      <c r="L26" s="4"/>
      <c r="M26" s="4"/>
      <c r="N26" s="4"/>
      <c r="O26" s="4"/>
      <c r="P26" s="4"/>
      <c r="Q26" s="4"/>
      <c r="R26" s="4"/>
      <c r="S26" s="4"/>
      <c r="T26" s="4"/>
      <c r="U26" s="4"/>
      <c r="V26" s="4"/>
      <c r="W26" s="4"/>
      <c r="X26" s="4"/>
      <c r="Y26" s="4"/>
      <c r="Z26" s="4"/>
    </row>
    <row r="27" ht="15.75" customHeight="1" outlineLevel="1">
      <c r="A27" s="30" t="s">
        <v>163</v>
      </c>
      <c r="B27" s="32">
        <v>-35000.0</v>
      </c>
      <c r="C27" s="33">
        <v>46507.0</v>
      </c>
      <c r="D27" s="34" t="s">
        <v>159</v>
      </c>
      <c r="E27" s="35" t="s">
        <v>164</v>
      </c>
      <c r="F27" s="4"/>
      <c r="G27" s="4"/>
      <c r="H27" s="4"/>
      <c r="I27" s="4"/>
      <c r="J27" s="4"/>
      <c r="K27" s="4"/>
      <c r="L27" s="4"/>
      <c r="M27" s="4"/>
      <c r="N27" s="4"/>
      <c r="O27" s="4"/>
      <c r="P27" s="4"/>
      <c r="Q27" s="4"/>
      <c r="R27" s="4"/>
      <c r="S27" s="4"/>
      <c r="T27" s="4"/>
      <c r="U27" s="4"/>
      <c r="V27" s="4"/>
      <c r="W27" s="4"/>
      <c r="X27" s="4"/>
      <c r="Y27" s="4"/>
      <c r="Z27" s="4"/>
    </row>
    <row r="28" ht="15.75" customHeight="1">
      <c r="A28" s="86" t="s">
        <v>166</v>
      </c>
      <c r="B28" s="87">
        <f>SUM(B26:B27)</f>
        <v>-1492705.02</v>
      </c>
      <c r="C28" s="88"/>
      <c r="D28" s="90"/>
      <c r="E28" s="91" t="s">
        <v>168</v>
      </c>
      <c r="F28" s="4"/>
      <c r="G28" s="4"/>
      <c r="H28" s="4"/>
      <c r="I28" s="4"/>
      <c r="J28" s="4"/>
      <c r="K28" s="4"/>
      <c r="L28" s="4"/>
      <c r="M28" s="4"/>
      <c r="N28" s="4"/>
      <c r="O28" s="4"/>
      <c r="P28" s="4"/>
      <c r="Q28" s="4"/>
      <c r="R28" s="4"/>
      <c r="S28" s="4"/>
      <c r="T28" s="4"/>
      <c r="U28" s="4"/>
      <c r="V28" s="4"/>
      <c r="W28" s="4"/>
      <c r="X28" s="4"/>
      <c r="Y28" s="4"/>
      <c r="Z28" s="4"/>
    </row>
    <row r="29" ht="15.75" customHeight="1" outlineLevel="1">
      <c r="A29" s="94" t="s">
        <v>169</v>
      </c>
      <c r="B29" s="95">
        <v>-8917.86</v>
      </c>
      <c r="C29" s="96">
        <v>46210.0</v>
      </c>
      <c r="D29" s="99" t="s">
        <v>159</v>
      </c>
      <c r="E29" s="35" t="s">
        <v>171</v>
      </c>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11" t="s">
        <v>174</v>
      </c>
      <c r="B31" s="22"/>
      <c r="C31" s="22"/>
      <c r="D31" s="22"/>
      <c r="E31" s="22"/>
      <c r="F31" s="4"/>
      <c r="G31" s="4"/>
      <c r="H31" s="4"/>
      <c r="I31" s="4"/>
      <c r="J31" s="4"/>
      <c r="K31" s="4"/>
      <c r="L31" s="4"/>
      <c r="M31" s="4"/>
      <c r="N31" s="4"/>
      <c r="O31" s="4"/>
      <c r="P31" s="4"/>
      <c r="Q31" s="4"/>
      <c r="R31" s="4"/>
      <c r="S31" s="4"/>
      <c r="T31" s="4"/>
      <c r="U31" s="4"/>
      <c r="V31" s="4"/>
      <c r="W31" s="4"/>
      <c r="X31" s="4"/>
      <c r="Y31" s="4"/>
      <c r="Z31" s="4"/>
    </row>
    <row r="32" ht="24.0" customHeight="1">
      <c r="A32" s="104" t="s">
        <v>177</v>
      </c>
      <c r="B32" s="106">
        <f>B24+B28</f>
        <v>1226208.85</v>
      </c>
      <c r="C32" s="107"/>
      <c r="D32" s="109"/>
      <c r="E32" s="111" t="s">
        <v>179</v>
      </c>
      <c r="F32" s="4"/>
      <c r="G32" s="4"/>
      <c r="H32" s="4"/>
      <c r="I32" s="4"/>
      <c r="J32" s="4"/>
      <c r="K32" s="4"/>
      <c r="L32" s="4"/>
      <c r="M32" s="4"/>
      <c r="N32" s="4"/>
      <c r="O32" s="4"/>
      <c r="P32" s="4"/>
      <c r="Q32" s="4"/>
      <c r="R32" s="4"/>
      <c r="S32" s="4"/>
      <c r="T32" s="4"/>
      <c r="U32" s="4"/>
      <c r="V32" s="4"/>
      <c r="W32" s="4"/>
      <c r="X32" s="4"/>
      <c r="Y32" s="4"/>
      <c r="Z32" s="4"/>
    </row>
    <row r="33" ht="15.75" customHeight="1">
      <c r="A33" s="30" t="s">
        <v>184</v>
      </c>
      <c r="B33" s="116">
        <f>B13+B26</f>
        <v>492294.98</v>
      </c>
      <c r="C33" s="33"/>
      <c r="D33" s="34"/>
      <c r="E33" s="35" t="s">
        <v>186</v>
      </c>
      <c r="F33" s="4"/>
      <c r="G33" s="4"/>
      <c r="H33" s="4"/>
      <c r="I33" s="4"/>
      <c r="J33" s="4"/>
      <c r="K33" s="4"/>
      <c r="L33" s="4"/>
      <c r="M33" s="4"/>
      <c r="N33" s="4"/>
      <c r="O33" s="4"/>
      <c r="P33" s="4"/>
      <c r="Q33" s="4"/>
      <c r="R33" s="4"/>
      <c r="S33" s="4"/>
      <c r="T33" s="4"/>
      <c r="U33" s="4"/>
      <c r="V33" s="4"/>
      <c r="W33" s="4"/>
      <c r="X33" s="4"/>
      <c r="Y33" s="4"/>
      <c r="Z33" s="4"/>
    </row>
    <row r="34" ht="15.75" customHeight="1">
      <c r="A34" s="30" t="s">
        <v>192</v>
      </c>
      <c r="B34" s="119">
        <f>-B26/B13</f>
        <v>0.7475410359</v>
      </c>
      <c r="C34" s="33"/>
      <c r="D34" s="34"/>
      <c r="E34" s="35" t="s">
        <v>198</v>
      </c>
      <c r="F34" s="4"/>
      <c r="G34" s="4"/>
      <c r="H34" s="4"/>
      <c r="I34" s="4"/>
      <c r="J34" s="4"/>
      <c r="K34" s="4"/>
      <c r="L34" s="4"/>
      <c r="M34" s="4"/>
      <c r="N34" s="4"/>
      <c r="O34" s="4"/>
      <c r="P34" s="4"/>
      <c r="Q34" s="4"/>
      <c r="R34" s="4"/>
      <c r="S34" s="4"/>
      <c r="T34" s="4"/>
      <c r="U34" s="4"/>
      <c r="V34" s="4"/>
      <c r="W34" s="4"/>
      <c r="X34" s="4"/>
      <c r="Y34" s="4"/>
      <c r="Z34" s="4"/>
    </row>
    <row r="35" ht="15.75" customHeight="1">
      <c r="A35" s="30" t="s">
        <v>203</v>
      </c>
      <c r="B35" s="116">
        <f>B11</f>
        <v>54971.04</v>
      </c>
      <c r="C35" s="33"/>
      <c r="D35" s="34" t="s">
        <v>38</v>
      </c>
      <c r="E35" s="35" t="s">
        <v>206</v>
      </c>
      <c r="F35" s="4"/>
      <c r="G35" s="4"/>
      <c r="H35" s="4"/>
      <c r="I35" s="4"/>
      <c r="J35" s="4"/>
      <c r="K35" s="4"/>
      <c r="L35" s="4"/>
      <c r="M35" s="4"/>
      <c r="N35" s="4"/>
      <c r="O35" s="4"/>
      <c r="P35" s="4"/>
      <c r="Q35" s="4"/>
      <c r="R35" s="4"/>
      <c r="S35" s="4"/>
      <c r="T35" s="4"/>
      <c r="U35" s="4"/>
      <c r="V35" s="4"/>
      <c r="W35" s="4"/>
      <c r="X35" s="4"/>
      <c r="Y35" s="4"/>
      <c r="Z35" s="4"/>
    </row>
    <row r="36" ht="15.75" customHeight="1">
      <c r="A36" s="30" t="s">
        <v>207</v>
      </c>
      <c r="B36" s="116">
        <f>B15+B13+B23</f>
        <v>2663942.83</v>
      </c>
      <c r="C36" s="33"/>
      <c r="D36" s="34" t="s">
        <v>111</v>
      </c>
      <c r="E36" s="35" t="s">
        <v>211</v>
      </c>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6" t="s">
        <v>219</v>
      </c>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9.5" customHeight="1">
      <c r="A40" s="19" t="s">
        <v>226</v>
      </c>
      <c r="B40" s="60"/>
      <c r="C40" s="60"/>
      <c r="D40" s="60"/>
      <c r="E40" s="60"/>
      <c r="F40" s="4"/>
      <c r="G40" s="4"/>
      <c r="H40" s="4"/>
      <c r="I40" s="4"/>
      <c r="J40" s="4"/>
      <c r="K40" s="4"/>
      <c r="L40" s="4"/>
      <c r="M40" s="4"/>
      <c r="N40" s="4"/>
      <c r="O40" s="4"/>
      <c r="P40" s="4"/>
      <c r="Q40" s="4"/>
      <c r="R40" s="4"/>
      <c r="S40" s="4"/>
      <c r="T40" s="4"/>
      <c r="U40" s="4"/>
      <c r="V40" s="4"/>
      <c r="W40" s="4"/>
      <c r="X40" s="4"/>
      <c r="Y40" s="4"/>
      <c r="Z40" s="4"/>
    </row>
    <row r="41" ht="15.75" customHeight="1">
      <c r="A41" s="23" t="s">
        <v>152</v>
      </c>
      <c r="B41" s="128">
        <f t="shared" ref="B41:B42" si="4">B35</f>
        <v>54971.04</v>
      </c>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23" t="s">
        <v>238</v>
      </c>
      <c r="B42" s="128">
        <f t="shared" si="4"/>
        <v>2663942.83</v>
      </c>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11" t="s">
        <v>240</v>
      </c>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115" t="s">
        <v>241</v>
      </c>
      <c r="B45" s="133">
        <v>26449.88</v>
      </c>
      <c r="C45" s="115" t="s">
        <v>242</v>
      </c>
      <c r="D45" s="4"/>
      <c r="E45" s="115" t="s">
        <v>243</v>
      </c>
      <c r="F45" s="4"/>
      <c r="G45" s="4"/>
      <c r="H45" s="4"/>
      <c r="I45" s="4"/>
      <c r="J45" s="4"/>
      <c r="K45" s="4"/>
      <c r="L45" s="4"/>
      <c r="M45" s="4"/>
      <c r="N45" s="4"/>
      <c r="O45" s="4"/>
      <c r="P45" s="4"/>
      <c r="Q45" s="4"/>
      <c r="R45" s="4"/>
      <c r="S45" s="4"/>
      <c r="T45" s="4"/>
      <c r="U45" s="4"/>
      <c r="V45" s="4"/>
      <c r="W45" s="4"/>
      <c r="X45" s="4"/>
      <c r="Y45" s="4"/>
      <c r="Z45" s="4"/>
    </row>
    <row r="46" ht="15.75" customHeight="1">
      <c r="A46" s="115" t="s">
        <v>244</v>
      </c>
      <c r="B46" s="133">
        <v>1968.95</v>
      </c>
      <c r="C46" s="115" t="s">
        <v>242</v>
      </c>
      <c r="D46" s="4"/>
      <c r="E46" s="115" t="s">
        <v>245</v>
      </c>
      <c r="F46" s="4"/>
      <c r="G46" s="4"/>
      <c r="H46" s="4"/>
      <c r="I46" s="4"/>
      <c r="J46" s="4"/>
      <c r="K46" s="4"/>
      <c r="L46" s="4"/>
      <c r="M46" s="4"/>
      <c r="N46" s="4"/>
      <c r="O46" s="4"/>
      <c r="P46" s="4"/>
      <c r="Q46" s="4"/>
      <c r="R46" s="4"/>
      <c r="S46" s="4"/>
      <c r="T46" s="4"/>
      <c r="U46" s="4"/>
      <c r="V46" s="4"/>
      <c r="W46" s="4"/>
      <c r="X46" s="4"/>
      <c r="Y46" s="4"/>
      <c r="Z46" s="4"/>
    </row>
    <row r="47" ht="15.75" customHeight="1">
      <c r="A47" s="115" t="s">
        <v>246</v>
      </c>
      <c r="B47" s="133">
        <v>28.92</v>
      </c>
      <c r="C47" s="115" t="s">
        <v>242</v>
      </c>
      <c r="D47" s="4"/>
      <c r="E47" s="115" t="s">
        <v>245</v>
      </c>
      <c r="F47" s="4"/>
      <c r="G47" s="4"/>
      <c r="H47" s="4"/>
      <c r="I47" s="4"/>
      <c r="J47" s="4"/>
      <c r="K47" s="4"/>
      <c r="L47" s="4"/>
      <c r="M47" s="4"/>
      <c r="N47" s="4"/>
      <c r="O47" s="4"/>
      <c r="P47" s="4"/>
      <c r="Q47" s="4"/>
      <c r="R47" s="4"/>
      <c r="S47" s="4"/>
      <c r="T47" s="4"/>
      <c r="U47" s="4"/>
      <c r="V47" s="4"/>
      <c r="W47" s="4"/>
      <c r="X47" s="4"/>
      <c r="Y47" s="4"/>
      <c r="Z47" s="4"/>
    </row>
    <row r="48" ht="15.75" customHeight="1">
      <c r="A48" s="115" t="s">
        <v>247</v>
      </c>
      <c r="B48" s="133">
        <v>4103.51</v>
      </c>
      <c r="C48" s="115" t="s">
        <v>242</v>
      </c>
      <c r="D48" s="4"/>
      <c r="E48" s="115" t="s">
        <v>248</v>
      </c>
      <c r="F48" s="4"/>
      <c r="G48" s="4"/>
      <c r="H48" s="4"/>
      <c r="I48" s="4"/>
      <c r="J48" s="4"/>
      <c r="K48" s="4"/>
      <c r="L48" s="4"/>
      <c r="M48" s="4"/>
      <c r="N48" s="4"/>
      <c r="O48" s="4"/>
      <c r="P48" s="4"/>
      <c r="Q48" s="4"/>
      <c r="R48" s="4"/>
      <c r="S48" s="4"/>
      <c r="T48" s="4"/>
      <c r="U48" s="4"/>
      <c r="V48" s="4"/>
      <c r="W48" s="4"/>
      <c r="X48" s="4"/>
      <c r="Y48" s="4"/>
      <c r="Z48" s="4"/>
    </row>
    <row r="49" ht="15.75" customHeight="1">
      <c r="A49" s="115" t="s">
        <v>250</v>
      </c>
      <c r="B49" s="133">
        <v>367.99</v>
      </c>
      <c r="C49" s="115" t="s">
        <v>242</v>
      </c>
      <c r="D49" s="4"/>
      <c r="E49" s="115" t="s">
        <v>245</v>
      </c>
      <c r="F49" s="4"/>
      <c r="G49" s="4"/>
      <c r="H49" s="4"/>
      <c r="I49" s="4"/>
      <c r="J49" s="4"/>
      <c r="K49" s="4"/>
      <c r="L49" s="4"/>
      <c r="M49" s="4"/>
      <c r="N49" s="4"/>
      <c r="O49" s="4"/>
      <c r="P49" s="4"/>
      <c r="Q49" s="4"/>
      <c r="R49" s="4"/>
      <c r="S49" s="4"/>
      <c r="T49" s="4"/>
      <c r="U49" s="4"/>
      <c r="V49" s="4"/>
      <c r="W49" s="4"/>
      <c r="X49" s="4"/>
      <c r="Y49" s="4"/>
      <c r="Z49" s="4"/>
    </row>
    <row r="50" ht="15.75" customHeight="1">
      <c r="A50" s="115" t="s">
        <v>251</v>
      </c>
      <c r="B50" s="133">
        <v>-5174.0</v>
      </c>
      <c r="C50" s="115" t="s">
        <v>242</v>
      </c>
      <c r="D50" s="4"/>
      <c r="E50" s="115" t="s">
        <v>252</v>
      </c>
      <c r="F50" s="4"/>
      <c r="G50" s="4"/>
      <c r="H50" s="4"/>
      <c r="I50" s="4"/>
      <c r="J50" s="4"/>
      <c r="K50" s="4"/>
      <c r="L50" s="4"/>
      <c r="M50" s="4"/>
      <c r="N50" s="4"/>
      <c r="O50" s="4"/>
      <c r="P50" s="4"/>
      <c r="Q50" s="4"/>
      <c r="R50" s="4"/>
      <c r="S50" s="4"/>
      <c r="T50" s="4"/>
      <c r="U50" s="4"/>
      <c r="V50" s="4"/>
      <c r="W50" s="4"/>
      <c r="X50" s="4"/>
      <c r="Y50" s="4"/>
      <c r="Z50" s="4"/>
    </row>
    <row r="51" ht="15.75" customHeight="1">
      <c r="A51" s="115" t="s">
        <v>253</v>
      </c>
      <c r="B51" s="133">
        <v>-1455827.58</v>
      </c>
      <c r="C51" s="115" t="s">
        <v>242</v>
      </c>
      <c r="D51" s="4"/>
      <c r="E51" s="115" t="s">
        <v>254</v>
      </c>
      <c r="F51" s="4"/>
      <c r="G51" s="4"/>
      <c r="H51" s="4"/>
      <c r="I51" s="4"/>
      <c r="J51" s="4"/>
      <c r="K51" s="4"/>
      <c r="L51" s="4"/>
      <c r="M51" s="4"/>
      <c r="N51" s="4"/>
      <c r="O51" s="4"/>
      <c r="P51" s="4"/>
      <c r="Q51" s="4"/>
      <c r="R51" s="4"/>
      <c r="S51" s="4"/>
      <c r="T51" s="4"/>
      <c r="U51" s="4"/>
      <c r="V51" s="4"/>
      <c r="W51" s="4"/>
      <c r="X51" s="4"/>
      <c r="Y51" s="4"/>
      <c r="Z51" s="4"/>
    </row>
    <row r="52" ht="15.75" customHeight="1">
      <c r="A52" s="115" t="s">
        <v>255</v>
      </c>
      <c r="B52" s="133">
        <v>27745.25</v>
      </c>
      <c r="C52" s="115" t="s">
        <v>242</v>
      </c>
      <c r="D52" s="4"/>
      <c r="E52" s="115" t="s">
        <v>256</v>
      </c>
      <c r="F52" s="4"/>
      <c r="G52" s="4"/>
      <c r="H52" s="4"/>
      <c r="I52" s="4"/>
      <c r="J52" s="4"/>
      <c r="K52" s="4"/>
      <c r="L52" s="4"/>
      <c r="M52" s="4"/>
      <c r="N52" s="4"/>
      <c r="O52" s="4"/>
      <c r="P52" s="4"/>
      <c r="Q52" s="4"/>
      <c r="R52" s="4"/>
      <c r="S52" s="4"/>
      <c r="T52" s="4"/>
      <c r="U52" s="4"/>
      <c r="V52" s="4"/>
      <c r="W52" s="4"/>
      <c r="X52" s="4"/>
      <c r="Y52" s="4"/>
      <c r="Z52" s="4"/>
    </row>
    <row r="53" ht="15.75" customHeight="1">
      <c r="A53" s="115" t="s">
        <v>258</v>
      </c>
      <c r="B53" s="4"/>
      <c r="C53" s="4"/>
      <c r="D53" s="4"/>
      <c r="E53" s="115" t="s">
        <v>259</v>
      </c>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E1"/>
    <mergeCell ref="A2:E2"/>
    <mergeCell ref="A38:E38"/>
  </mergeCells>
  <conditionalFormatting sqref="D4:D36">
    <cfRule type="expression" dxfId="0" priority="1">
      <formula>ISNUMBER(SEARCH("Liquid",D4))</formula>
    </cfRule>
  </conditionalFormatting>
  <conditionalFormatting sqref="D4:D36">
    <cfRule type="expression" dxfId="1" priority="2">
      <formula>OR(ISNUMBER(SEARCH("Locked",D4)),ISNUMBER(SEARCH("Entity",D4)),ISNUMBER(SEARCH("Assumption",D4)))</formula>
    </cfRule>
  </conditionalFormatting>
  <conditionalFormatting sqref="D4:D36">
    <cfRule type="expression" dxfId="2" priority="3">
      <formula>ISNUMBER(SEARCH("Liability",D4))</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outlineLevelRow="1"/>
  <cols>
    <col customWidth="1" min="1" max="1" width="30.0"/>
    <col customWidth="1" min="2" max="2" width="100.0"/>
    <col customWidth="1" min="3" max="3" width="14.0"/>
    <col customWidth="1" min="4" max="6" width="8.71"/>
  </cols>
  <sheetData>
    <row r="1">
      <c r="A1" s="1" t="s">
        <v>513</v>
      </c>
      <c r="B1" s="3"/>
      <c r="C1" s="4"/>
      <c r="D1" s="4"/>
      <c r="E1" s="4"/>
      <c r="F1" s="4"/>
      <c r="G1" s="4"/>
      <c r="H1" s="4"/>
      <c r="I1" s="4"/>
      <c r="J1" s="4"/>
      <c r="K1" s="4"/>
      <c r="L1" s="4"/>
      <c r="M1" s="4"/>
      <c r="N1" s="4"/>
      <c r="O1" s="4"/>
      <c r="P1" s="4"/>
      <c r="Q1" s="4"/>
      <c r="R1" s="4"/>
      <c r="S1" s="4"/>
      <c r="T1" s="4"/>
      <c r="U1" s="4"/>
      <c r="V1" s="4"/>
      <c r="W1" s="4"/>
      <c r="X1" s="4"/>
      <c r="Y1" s="4"/>
      <c r="Z1" s="4"/>
    </row>
    <row r="2">
      <c r="A2" s="6" t="s">
        <v>514</v>
      </c>
      <c r="C2" s="4"/>
      <c r="D2" s="4"/>
      <c r="E2" s="4"/>
      <c r="F2" s="4"/>
      <c r="G2" s="4"/>
      <c r="H2" s="4"/>
      <c r="I2" s="4"/>
      <c r="J2" s="4"/>
      <c r="K2" s="4"/>
      <c r="L2" s="4"/>
      <c r="M2" s="4"/>
      <c r="N2" s="4"/>
      <c r="O2" s="4"/>
      <c r="P2" s="4"/>
      <c r="Q2" s="4"/>
      <c r="R2" s="4"/>
      <c r="S2" s="4"/>
      <c r="T2" s="4"/>
      <c r="U2" s="4"/>
      <c r="V2" s="4"/>
      <c r="W2" s="4"/>
      <c r="X2" s="4"/>
      <c r="Y2" s="4"/>
      <c r="Z2" s="4"/>
    </row>
    <row r="3">
      <c r="A3" s="11" t="s">
        <v>515</v>
      </c>
      <c r="B3" s="11" t="s">
        <v>516</v>
      </c>
      <c r="C3" s="200" t="s">
        <v>517</v>
      </c>
      <c r="D3" s="4"/>
      <c r="E3" s="4"/>
      <c r="F3" s="4"/>
      <c r="G3" s="4"/>
      <c r="H3" s="4"/>
      <c r="I3" s="4"/>
      <c r="J3" s="4"/>
      <c r="K3" s="4"/>
      <c r="L3" s="4"/>
      <c r="M3" s="4"/>
      <c r="N3" s="4"/>
      <c r="O3" s="4"/>
      <c r="P3" s="4"/>
      <c r="Q3" s="4"/>
      <c r="R3" s="4"/>
      <c r="S3" s="4"/>
      <c r="T3" s="4"/>
      <c r="U3" s="4"/>
      <c r="V3" s="4"/>
      <c r="W3" s="4"/>
      <c r="X3" s="4"/>
      <c r="Y3" s="4"/>
      <c r="Z3" s="4"/>
    </row>
    <row r="4" ht="19.5" customHeight="1">
      <c r="A4" s="14" t="s">
        <v>4</v>
      </c>
      <c r="B4" s="15"/>
      <c r="C4" s="15"/>
      <c r="D4" s="4"/>
      <c r="E4" s="4"/>
      <c r="F4" s="4"/>
      <c r="G4" s="4"/>
      <c r="H4" s="4"/>
      <c r="I4" s="4"/>
      <c r="J4" s="4"/>
      <c r="K4" s="4"/>
      <c r="L4" s="4"/>
      <c r="M4" s="4"/>
      <c r="N4" s="4"/>
      <c r="O4" s="4"/>
      <c r="P4" s="4"/>
      <c r="Q4" s="4"/>
      <c r="R4" s="4"/>
      <c r="S4" s="4"/>
      <c r="T4" s="4"/>
      <c r="U4" s="4"/>
      <c r="V4" s="4"/>
      <c r="W4" s="4"/>
      <c r="X4" s="4"/>
      <c r="Y4" s="4"/>
      <c r="Z4" s="4"/>
    </row>
    <row r="5" ht="15.0" customHeight="1">
      <c r="A5" s="201" t="s">
        <v>518</v>
      </c>
      <c r="B5" s="201" t="s">
        <v>519</v>
      </c>
      <c r="C5" s="4"/>
      <c r="D5" s="4"/>
      <c r="E5" s="4"/>
      <c r="F5" s="4"/>
      <c r="G5" s="4"/>
      <c r="H5" s="4"/>
      <c r="I5" s="4"/>
      <c r="J5" s="4"/>
      <c r="K5" s="4"/>
      <c r="L5" s="4"/>
      <c r="M5" s="4"/>
      <c r="N5" s="4"/>
      <c r="O5" s="4"/>
      <c r="P5" s="4"/>
      <c r="Q5" s="4"/>
      <c r="R5" s="4"/>
      <c r="S5" s="4"/>
      <c r="T5" s="4"/>
      <c r="U5" s="4"/>
      <c r="V5" s="4"/>
      <c r="W5" s="4"/>
      <c r="X5" s="4"/>
      <c r="Y5" s="4"/>
      <c r="Z5" s="4"/>
    </row>
    <row r="6" ht="15.0" customHeight="1">
      <c r="A6" s="201" t="s">
        <v>520</v>
      </c>
      <c r="B6" s="201" t="str">
        <f>"≈ $"&amp;TEXT('Net Worth Forecast — 1 Oct 2026'!B26,"#,##0")&amp;" — see 'Net Worth Forecast — 1 Oct 2026' tab."</f>
        <v>≈ $1,130,068 — see 'Net Worth Forecast — 1 Oct 2026' tab.</v>
      </c>
      <c r="C6" s="4"/>
      <c r="D6" s="4"/>
      <c r="E6" s="4"/>
      <c r="F6" s="4"/>
      <c r="G6" s="4"/>
      <c r="H6" s="4"/>
      <c r="I6" s="4"/>
      <c r="J6" s="4"/>
      <c r="K6" s="4"/>
      <c r="L6" s="4"/>
      <c r="M6" s="4"/>
      <c r="N6" s="4"/>
      <c r="O6" s="4"/>
      <c r="P6" s="4"/>
      <c r="Q6" s="4"/>
      <c r="R6" s="4"/>
      <c r="S6" s="4"/>
      <c r="T6" s="4"/>
      <c r="U6" s="4"/>
      <c r="V6" s="4"/>
      <c r="W6" s="4"/>
      <c r="X6" s="4"/>
      <c r="Y6" s="4"/>
      <c r="Z6" s="4"/>
    </row>
    <row r="7" ht="15.0" customHeight="1">
      <c r="A7" s="202" t="s">
        <v>521</v>
      </c>
      <c r="B7" s="202" t="s">
        <v>522</v>
      </c>
      <c r="C7" s="4"/>
      <c r="D7" s="4"/>
      <c r="E7" s="4"/>
      <c r="F7" s="4"/>
      <c r="G7" s="4"/>
      <c r="H7" s="4"/>
      <c r="I7" s="4"/>
      <c r="J7" s="4"/>
      <c r="K7" s="4"/>
      <c r="L7" s="4"/>
      <c r="M7" s="4"/>
      <c r="N7" s="4"/>
      <c r="O7" s="4"/>
      <c r="P7" s="4"/>
      <c r="Q7" s="4"/>
      <c r="R7" s="4"/>
      <c r="S7" s="4"/>
      <c r="T7" s="4"/>
      <c r="U7" s="4"/>
      <c r="V7" s="4"/>
      <c r="W7" s="4"/>
      <c r="X7" s="4"/>
      <c r="Y7" s="4"/>
      <c r="Z7" s="4"/>
    </row>
    <row r="8" ht="15.0" customHeight="1">
      <c r="A8" s="202" t="s">
        <v>523</v>
      </c>
      <c r="B8" s="202" t="s">
        <v>524</v>
      </c>
      <c r="C8" s="4"/>
      <c r="D8" s="4"/>
      <c r="E8" s="4"/>
      <c r="F8" s="4"/>
      <c r="G8" s="4"/>
      <c r="H8" s="4"/>
      <c r="I8" s="4"/>
      <c r="J8" s="4"/>
      <c r="K8" s="4"/>
      <c r="L8" s="4"/>
      <c r="M8" s="4"/>
      <c r="N8" s="4"/>
      <c r="O8" s="4"/>
      <c r="P8" s="4"/>
      <c r="Q8" s="4"/>
      <c r="R8" s="4"/>
      <c r="S8" s="4"/>
      <c r="T8" s="4"/>
      <c r="U8" s="4"/>
      <c r="V8" s="4"/>
      <c r="W8" s="4"/>
      <c r="X8" s="4"/>
      <c r="Y8" s="4"/>
      <c r="Z8" s="4"/>
    </row>
    <row r="9" ht="15.0" customHeight="1">
      <c r="A9" s="202" t="s">
        <v>525</v>
      </c>
      <c r="B9" s="202" t="s">
        <v>526</v>
      </c>
      <c r="C9" s="4"/>
      <c r="D9" s="4"/>
      <c r="E9" s="4"/>
      <c r="F9" s="4"/>
      <c r="G9" s="4"/>
      <c r="H9" s="4"/>
      <c r="I9" s="4"/>
      <c r="J9" s="4"/>
      <c r="K9" s="4"/>
      <c r="L9" s="4"/>
      <c r="M9" s="4"/>
      <c r="N9" s="4"/>
      <c r="O9" s="4"/>
      <c r="P9" s="4"/>
      <c r="Q9" s="4"/>
      <c r="R9" s="4"/>
      <c r="S9" s="4"/>
      <c r="T9" s="4"/>
      <c r="U9" s="4"/>
      <c r="V9" s="4"/>
      <c r="W9" s="4"/>
      <c r="X9" s="4"/>
      <c r="Y9" s="4"/>
      <c r="Z9" s="4"/>
    </row>
    <row r="10">
      <c r="A10" s="11" t="s">
        <v>527</v>
      </c>
      <c r="B10" s="22"/>
      <c r="C10" s="4"/>
      <c r="D10" s="4"/>
      <c r="E10" s="4"/>
      <c r="F10" s="4"/>
      <c r="G10" s="4"/>
      <c r="H10" s="4"/>
      <c r="I10" s="4"/>
      <c r="J10" s="4"/>
      <c r="K10" s="4"/>
      <c r="L10" s="4"/>
      <c r="M10" s="4"/>
      <c r="N10" s="4"/>
      <c r="O10" s="4"/>
      <c r="P10" s="4"/>
      <c r="Q10" s="4"/>
      <c r="R10" s="4"/>
      <c r="S10" s="4"/>
      <c r="T10" s="4"/>
      <c r="U10" s="4"/>
      <c r="V10" s="4"/>
      <c r="W10" s="4"/>
      <c r="X10" s="4"/>
      <c r="Y10" s="4"/>
      <c r="Z10" s="4"/>
    </row>
    <row r="11">
      <c r="A11" s="30" t="s">
        <v>528</v>
      </c>
      <c r="B11" s="203" t="s">
        <v>529</v>
      </c>
      <c r="C11" s="4"/>
      <c r="D11" s="4"/>
      <c r="E11" s="4"/>
      <c r="F11" s="4"/>
      <c r="G11" s="4"/>
      <c r="H11" s="4"/>
      <c r="I11" s="4"/>
      <c r="J11" s="4"/>
      <c r="K11" s="4"/>
      <c r="L11" s="4"/>
      <c r="M11" s="4"/>
      <c r="N11" s="4"/>
      <c r="O11" s="4"/>
      <c r="P11" s="4"/>
      <c r="Q11" s="4"/>
      <c r="R11" s="4"/>
      <c r="S11" s="4"/>
      <c r="T11" s="4"/>
      <c r="U11" s="4"/>
      <c r="V11" s="4"/>
      <c r="W11" s="4"/>
      <c r="X11" s="4"/>
      <c r="Y11" s="4"/>
      <c r="Z11" s="4"/>
    </row>
    <row r="12">
      <c r="A12" s="30" t="s">
        <v>530</v>
      </c>
      <c r="B12" s="204" t="s">
        <v>531</v>
      </c>
      <c r="C12" s="4"/>
      <c r="D12" s="4"/>
      <c r="E12" s="4"/>
      <c r="F12" s="4"/>
      <c r="G12" s="4"/>
      <c r="H12" s="4"/>
      <c r="I12" s="4"/>
      <c r="J12" s="4"/>
      <c r="K12" s="4"/>
      <c r="L12" s="4"/>
      <c r="M12" s="4"/>
      <c r="N12" s="4"/>
      <c r="O12" s="4"/>
      <c r="P12" s="4"/>
      <c r="Q12" s="4"/>
      <c r="R12" s="4"/>
      <c r="S12" s="4"/>
      <c r="T12" s="4"/>
      <c r="U12" s="4"/>
      <c r="V12" s="4"/>
      <c r="W12" s="4"/>
      <c r="X12" s="4"/>
      <c r="Y12" s="4"/>
      <c r="Z12" s="4"/>
    </row>
    <row r="13">
      <c r="A13" s="30" t="s">
        <v>532</v>
      </c>
      <c r="B13" s="203" t="s">
        <v>533</v>
      </c>
      <c r="C13" s="4"/>
      <c r="D13" s="4"/>
      <c r="E13" s="4"/>
      <c r="F13" s="4"/>
      <c r="G13" s="4"/>
      <c r="H13" s="4"/>
      <c r="I13" s="4"/>
      <c r="J13" s="4"/>
      <c r="K13" s="4"/>
      <c r="L13" s="4"/>
      <c r="M13" s="4"/>
      <c r="N13" s="4"/>
      <c r="O13" s="4"/>
      <c r="P13" s="4"/>
      <c r="Q13" s="4"/>
      <c r="R13" s="4"/>
      <c r="S13" s="4"/>
      <c r="T13" s="4"/>
      <c r="U13" s="4"/>
      <c r="V13" s="4"/>
      <c r="W13" s="4"/>
      <c r="X13" s="4"/>
      <c r="Y13" s="4"/>
      <c r="Z13" s="4"/>
    </row>
    <row r="14">
      <c r="A14" s="30" t="s">
        <v>534</v>
      </c>
      <c r="B14" s="203" t="s">
        <v>535</v>
      </c>
      <c r="C14" s="4"/>
      <c r="D14" s="4"/>
      <c r="E14" s="4"/>
      <c r="F14" s="4"/>
      <c r="G14" s="4"/>
      <c r="H14" s="4"/>
      <c r="I14" s="4"/>
      <c r="J14" s="4"/>
      <c r="K14" s="4"/>
      <c r="L14" s="4"/>
      <c r="M14" s="4"/>
      <c r="N14" s="4"/>
      <c r="O14" s="4"/>
      <c r="P14" s="4"/>
      <c r="Q14" s="4"/>
      <c r="R14" s="4"/>
      <c r="S14" s="4"/>
      <c r="T14" s="4"/>
      <c r="U14" s="4"/>
      <c r="V14" s="4"/>
      <c r="W14" s="4"/>
      <c r="X14" s="4"/>
      <c r="Y14" s="4"/>
      <c r="Z14" s="4"/>
    </row>
    <row r="15">
      <c r="A15" s="201" t="s">
        <v>536</v>
      </c>
      <c r="B15" s="205" t="s">
        <v>537</v>
      </c>
      <c r="C15" s="4"/>
      <c r="D15" s="4"/>
      <c r="E15" s="4"/>
      <c r="F15" s="4"/>
      <c r="G15" s="4"/>
      <c r="H15" s="4"/>
      <c r="I15" s="4"/>
      <c r="J15" s="4"/>
      <c r="K15" s="4"/>
      <c r="L15" s="4"/>
      <c r="M15" s="4"/>
      <c r="N15" s="4"/>
      <c r="O15" s="4"/>
      <c r="P15" s="4"/>
      <c r="Q15" s="4"/>
      <c r="R15" s="4"/>
      <c r="S15" s="4"/>
      <c r="T15" s="4"/>
      <c r="U15" s="4"/>
      <c r="V15" s="4"/>
      <c r="W15" s="4"/>
      <c r="X15" s="4"/>
      <c r="Y15" s="4"/>
      <c r="Z15" s="4"/>
    </row>
    <row r="16">
      <c r="A16" s="11" t="s">
        <v>538</v>
      </c>
      <c r="B16" s="22"/>
      <c r="C16" s="4"/>
      <c r="D16" s="4"/>
      <c r="E16" s="4"/>
      <c r="F16" s="4"/>
      <c r="G16" s="4"/>
      <c r="H16" s="4"/>
      <c r="I16" s="4"/>
      <c r="J16" s="4"/>
      <c r="K16" s="4"/>
      <c r="L16" s="4"/>
      <c r="M16" s="4"/>
      <c r="N16" s="4"/>
      <c r="O16" s="4"/>
      <c r="P16" s="4"/>
      <c r="Q16" s="4"/>
      <c r="R16" s="4"/>
      <c r="S16" s="4"/>
      <c r="T16" s="4"/>
      <c r="U16" s="4"/>
      <c r="V16" s="4"/>
      <c r="W16" s="4"/>
      <c r="X16" s="4"/>
      <c r="Y16" s="4"/>
      <c r="Z16" s="4"/>
    </row>
    <row r="17">
      <c r="A17" s="30" t="s">
        <v>539</v>
      </c>
      <c r="B17" s="203" t="s">
        <v>540</v>
      </c>
      <c r="C17" s="4"/>
      <c r="D17" s="4"/>
      <c r="E17" s="4"/>
      <c r="F17" s="4"/>
      <c r="G17" s="4"/>
      <c r="H17" s="4"/>
      <c r="I17" s="4"/>
      <c r="J17" s="4"/>
      <c r="K17" s="4"/>
      <c r="L17" s="4"/>
      <c r="M17" s="4"/>
      <c r="N17" s="4"/>
      <c r="O17" s="4"/>
      <c r="P17" s="4"/>
      <c r="Q17" s="4"/>
      <c r="R17" s="4"/>
      <c r="S17" s="4"/>
      <c r="T17" s="4"/>
      <c r="U17" s="4"/>
      <c r="V17" s="4"/>
      <c r="W17" s="4"/>
      <c r="X17" s="4"/>
      <c r="Y17" s="4"/>
      <c r="Z17" s="4"/>
    </row>
    <row r="18">
      <c r="A18" s="30" t="s">
        <v>541</v>
      </c>
      <c r="B18" s="203" t="s">
        <v>542</v>
      </c>
      <c r="C18" s="4"/>
      <c r="D18" s="4"/>
      <c r="E18" s="4"/>
      <c r="F18" s="4"/>
      <c r="G18" s="4"/>
      <c r="H18" s="4"/>
      <c r="I18" s="4"/>
      <c r="J18" s="4"/>
      <c r="K18" s="4"/>
      <c r="L18" s="4"/>
      <c r="M18" s="4"/>
      <c r="N18" s="4"/>
      <c r="O18" s="4"/>
      <c r="P18" s="4"/>
      <c r="Q18" s="4"/>
      <c r="R18" s="4"/>
      <c r="S18" s="4"/>
      <c r="T18" s="4"/>
      <c r="U18" s="4"/>
      <c r="V18" s="4"/>
      <c r="W18" s="4"/>
      <c r="X18" s="4"/>
      <c r="Y18" s="4"/>
      <c r="Z18" s="4"/>
    </row>
    <row r="19">
      <c r="A19" s="30" t="s">
        <v>543</v>
      </c>
      <c r="B19" s="203" t="s">
        <v>544</v>
      </c>
      <c r="C19" s="4"/>
      <c r="D19" s="4"/>
      <c r="E19" s="4"/>
      <c r="F19" s="4"/>
      <c r="G19" s="4"/>
      <c r="H19" s="4"/>
      <c r="I19" s="4"/>
      <c r="J19" s="4"/>
      <c r="K19" s="4"/>
      <c r="L19" s="4"/>
      <c r="M19" s="4"/>
      <c r="N19" s="4"/>
      <c r="O19" s="4"/>
      <c r="P19" s="4"/>
      <c r="Q19" s="4"/>
      <c r="R19" s="4"/>
      <c r="S19" s="4"/>
      <c r="T19" s="4"/>
      <c r="U19" s="4"/>
      <c r="V19" s="4"/>
      <c r="W19" s="4"/>
      <c r="X19" s="4"/>
      <c r="Y19" s="4"/>
      <c r="Z19" s="4"/>
    </row>
    <row r="20">
      <c r="A20" s="30" t="s">
        <v>545</v>
      </c>
      <c r="B20" s="203" t="s">
        <v>546</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30" t="s">
        <v>547</v>
      </c>
      <c r="B21" s="203" t="s">
        <v>548</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30" t="s">
        <v>549</v>
      </c>
      <c r="B22" s="203" t="s">
        <v>550</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30" t="s">
        <v>551</v>
      </c>
      <c r="B23" s="203" t="s">
        <v>552</v>
      </c>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30" t="s">
        <v>553</v>
      </c>
      <c r="B24" s="203" t="s">
        <v>554</v>
      </c>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11" t="s">
        <v>555</v>
      </c>
      <c r="B25" s="22"/>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30" t="s">
        <v>556</v>
      </c>
      <c r="B26" s="203" t="s">
        <v>557</v>
      </c>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30" t="s">
        <v>558</v>
      </c>
      <c r="B27" s="203" t="s">
        <v>559</v>
      </c>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11" t="s">
        <v>560</v>
      </c>
      <c r="B28" s="22"/>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25" t="s">
        <v>561</v>
      </c>
      <c r="B29" s="26"/>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30" t="s">
        <v>562</v>
      </c>
      <c r="B30" s="203" t="s">
        <v>563</v>
      </c>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30" t="s">
        <v>564</v>
      </c>
      <c r="B31" s="203" t="s">
        <v>565</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30" t="s">
        <v>566</v>
      </c>
      <c r="B32" s="203" t="s">
        <v>567</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30" t="s">
        <v>568</v>
      </c>
      <c r="B33" s="203" t="s">
        <v>569</v>
      </c>
      <c r="C33" s="4"/>
      <c r="D33" s="4"/>
      <c r="E33" s="4"/>
      <c r="F33" s="4"/>
      <c r="G33" s="4"/>
      <c r="H33" s="4"/>
      <c r="I33" s="4"/>
      <c r="J33" s="4"/>
      <c r="K33" s="4"/>
      <c r="L33" s="4"/>
      <c r="M33" s="4"/>
      <c r="N33" s="4"/>
      <c r="O33" s="4"/>
      <c r="P33" s="4"/>
      <c r="Q33" s="4"/>
      <c r="R33" s="4"/>
      <c r="S33" s="4"/>
      <c r="T33" s="4"/>
      <c r="U33" s="4"/>
      <c r="V33" s="4"/>
      <c r="W33" s="4"/>
      <c r="X33" s="4"/>
      <c r="Y33" s="4"/>
      <c r="Z33" s="4"/>
    </row>
    <row r="34" ht="120.0" customHeight="1">
      <c r="A34" s="30" t="s">
        <v>570</v>
      </c>
      <c r="B34" s="203" t="s">
        <v>571</v>
      </c>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30" t="s">
        <v>572</v>
      </c>
      <c r="B35" s="203" t="s">
        <v>573</v>
      </c>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30" t="s">
        <v>574</v>
      </c>
      <c r="B36" s="203" t="s">
        <v>575</v>
      </c>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25" t="s">
        <v>576</v>
      </c>
      <c r="B37" s="26"/>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30" t="s">
        <v>562</v>
      </c>
      <c r="B38" s="203" t="s">
        <v>577</v>
      </c>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30" t="s">
        <v>578</v>
      </c>
      <c r="B39" s="203" t="s">
        <v>579</v>
      </c>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11" t="s">
        <v>580</v>
      </c>
      <c r="B40" s="22"/>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30" t="s">
        <v>581</v>
      </c>
      <c r="B41" s="203" t="s">
        <v>582</v>
      </c>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30" t="s">
        <v>583</v>
      </c>
      <c r="B42" s="203" t="s">
        <v>584</v>
      </c>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30" t="s">
        <v>585</v>
      </c>
      <c r="B43" s="203" t="s">
        <v>586</v>
      </c>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30" t="s">
        <v>587</v>
      </c>
      <c r="B44" s="203" t="s">
        <v>588</v>
      </c>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30" t="s">
        <v>589</v>
      </c>
      <c r="B45" s="203" t="s">
        <v>590</v>
      </c>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30" t="s">
        <v>591</v>
      </c>
      <c r="B46" s="204" t="s">
        <v>592</v>
      </c>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30" t="s">
        <v>593</v>
      </c>
      <c r="B47" s="203" t="s">
        <v>594</v>
      </c>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11" t="s">
        <v>595</v>
      </c>
      <c r="B48" s="22"/>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30" t="s">
        <v>596</v>
      </c>
      <c r="B49" s="204" t="s">
        <v>597</v>
      </c>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30" t="s">
        <v>598</v>
      </c>
      <c r="B50" s="203" t="s">
        <v>599</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30" t="s">
        <v>600</v>
      </c>
      <c r="B51" s="203" t="s">
        <v>601</v>
      </c>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30" t="s">
        <v>602</v>
      </c>
      <c r="B52" s="203" t="s">
        <v>603</v>
      </c>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14" t="s">
        <v>604</v>
      </c>
      <c r="B53" s="15"/>
      <c r="C53" s="15"/>
      <c r="D53" s="4"/>
      <c r="E53" s="4"/>
      <c r="F53" s="4"/>
      <c r="G53" s="4"/>
      <c r="H53" s="4"/>
      <c r="I53" s="4"/>
      <c r="J53" s="4"/>
      <c r="K53" s="4"/>
      <c r="L53" s="4"/>
      <c r="M53" s="4"/>
      <c r="N53" s="4"/>
      <c r="O53" s="4"/>
      <c r="P53" s="4"/>
      <c r="Q53" s="4"/>
      <c r="R53" s="4"/>
      <c r="S53" s="4"/>
      <c r="T53" s="4"/>
      <c r="U53" s="4"/>
      <c r="V53" s="4"/>
      <c r="W53" s="4"/>
      <c r="X53" s="4"/>
      <c r="Y53" s="4"/>
      <c r="Z53" s="4"/>
    </row>
    <row r="54" ht="15.75" customHeight="1">
      <c r="A54" s="201" t="s">
        <v>605</v>
      </c>
      <c r="B54" s="205" t="s">
        <v>606</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201" t="s">
        <v>607</v>
      </c>
      <c r="B55" s="205" t="s">
        <v>608</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201" t="s">
        <v>609</v>
      </c>
      <c r="B56" s="205" t="s">
        <v>610</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201" t="s">
        <v>611</v>
      </c>
      <c r="B57" s="205" t="s">
        <v>612</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201" t="s">
        <v>613</v>
      </c>
      <c r="B58" s="205" t="s">
        <v>614</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201" t="s">
        <v>615</v>
      </c>
      <c r="B59" s="205" t="s">
        <v>616</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11" t="s">
        <v>617</v>
      </c>
      <c r="B60" s="22"/>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30" t="s">
        <v>618</v>
      </c>
      <c r="B61" s="203" t="s">
        <v>619</v>
      </c>
      <c r="C61" s="206" t="s">
        <v>620</v>
      </c>
      <c r="D61" s="4"/>
      <c r="E61" s="4"/>
      <c r="F61" s="4"/>
      <c r="G61" s="4"/>
      <c r="H61" s="4"/>
      <c r="I61" s="4"/>
      <c r="J61" s="4"/>
      <c r="K61" s="4"/>
      <c r="L61" s="4"/>
      <c r="M61" s="4"/>
      <c r="N61" s="4"/>
      <c r="O61" s="4"/>
      <c r="P61" s="4"/>
      <c r="Q61" s="4"/>
      <c r="R61" s="4"/>
      <c r="S61" s="4"/>
      <c r="T61" s="4"/>
      <c r="U61" s="4"/>
      <c r="V61" s="4"/>
      <c r="W61" s="4"/>
      <c r="X61" s="4"/>
      <c r="Y61" s="4"/>
      <c r="Z61" s="4"/>
    </row>
    <row r="62" ht="15.75" customHeight="1">
      <c r="A62" s="30" t="s">
        <v>621</v>
      </c>
      <c r="B62" s="203" t="s">
        <v>622</v>
      </c>
      <c r="C62" s="206" t="s">
        <v>620</v>
      </c>
      <c r="D62" s="4"/>
      <c r="E62" s="4"/>
      <c r="F62" s="4"/>
      <c r="G62" s="4"/>
      <c r="H62" s="4"/>
      <c r="I62" s="4"/>
      <c r="J62" s="4"/>
      <c r="K62" s="4"/>
      <c r="L62" s="4"/>
      <c r="M62" s="4"/>
      <c r="N62" s="4"/>
      <c r="O62" s="4"/>
      <c r="P62" s="4"/>
      <c r="Q62" s="4"/>
      <c r="R62" s="4"/>
      <c r="S62" s="4"/>
      <c r="T62" s="4"/>
      <c r="U62" s="4"/>
      <c r="V62" s="4"/>
      <c r="W62" s="4"/>
      <c r="X62" s="4"/>
      <c r="Y62" s="4"/>
      <c r="Z62" s="4"/>
    </row>
    <row r="63" ht="15.75" customHeight="1">
      <c r="A63" s="30" t="s">
        <v>623</v>
      </c>
      <c r="B63" s="203" t="s">
        <v>624</v>
      </c>
      <c r="C63" s="206" t="s">
        <v>620</v>
      </c>
      <c r="D63" s="4"/>
      <c r="E63" s="4"/>
      <c r="F63" s="4"/>
      <c r="G63" s="4"/>
      <c r="H63" s="4"/>
      <c r="I63" s="4"/>
      <c r="J63" s="4"/>
      <c r="K63" s="4"/>
      <c r="L63" s="4"/>
      <c r="M63" s="4"/>
      <c r="N63" s="4"/>
      <c r="O63" s="4"/>
      <c r="P63" s="4"/>
      <c r="Q63" s="4"/>
      <c r="R63" s="4"/>
      <c r="S63" s="4"/>
      <c r="T63" s="4"/>
      <c r="U63" s="4"/>
      <c r="V63" s="4"/>
      <c r="W63" s="4"/>
      <c r="X63" s="4"/>
      <c r="Y63" s="4"/>
      <c r="Z63" s="4"/>
    </row>
    <row r="64" ht="15.75" customHeight="1">
      <c r="A64" s="30" t="s">
        <v>625</v>
      </c>
      <c r="B64" s="203" t="s">
        <v>626</v>
      </c>
      <c r="C64" s="207" t="s">
        <v>627</v>
      </c>
      <c r="D64" s="4"/>
      <c r="E64" s="4"/>
      <c r="F64" s="4"/>
      <c r="G64" s="4"/>
      <c r="H64" s="4"/>
      <c r="I64" s="4"/>
      <c r="J64" s="4"/>
      <c r="K64" s="4"/>
      <c r="L64" s="4"/>
      <c r="M64" s="4"/>
      <c r="N64" s="4"/>
      <c r="O64" s="4"/>
      <c r="P64" s="4"/>
      <c r="Q64" s="4"/>
      <c r="R64" s="4"/>
      <c r="S64" s="4"/>
      <c r="T64" s="4"/>
      <c r="U64" s="4"/>
      <c r="V64" s="4"/>
      <c r="W64" s="4"/>
      <c r="X64" s="4"/>
      <c r="Y64" s="4"/>
      <c r="Z64" s="4"/>
    </row>
    <row r="65" ht="15.75" customHeight="1">
      <c r="A65" s="30" t="s">
        <v>628</v>
      </c>
      <c r="B65" s="203" t="s">
        <v>629</v>
      </c>
      <c r="C65" s="207" t="s">
        <v>627</v>
      </c>
      <c r="D65" s="4"/>
      <c r="E65" s="4"/>
      <c r="F65" s="4"/>
      <c r="G65" s="4"/>
      <c r="H65" s="4"/>
      <c r="I65" s="4"/>
      <c r="J65" s="4"/>
      <c r="K65" s="4"/>
      <c r="L65" s="4"/>
      <c r="M65" s="4"/>
      <c r="N65" s="4"/>
      <c r="O65" s="4"/>
      <c r="P65" s="4"/>
      <c r="Q65" s="4"/>
      <c r="R65" s="4"/>
      <c r="S65" s="4"/>
      <c r="T65" s="4"/>
      <c r="U65" s="4"/>
      <c r="V65" s="4"/>
      <c r="W65" s="4"/>
      <c r="X65" s="4"/>
      <c r="Y65" s="4"/>
      <c r="Z65" s="4"/>
    </row>
    <row r="66" ht="15.75" customHeight="1">
      <c r="A66" s="30" t="s">
        <v>630</v>
      </c>
      <c r="B66" s="203" t="s">
        <v>631</v>
      </c>
      <c r="C66" s="207" t="s">
        <v>627</v>
      </c>
      <c r="D66" s="4"/>
      <c r="E66" s="4"/>
      <c r="F66" s="4"/>
      <c r="G66" s="4"/>
      <c r="H66" s="4"/>
      <c r="I66" s="4"/>
      <c r="J66" s="4"/>
      <c r="K66" s="4"/>
      <c r="L66" s="4"/>
      <c r="M66" s="4"/>
      <c r="N66" s="4"/>
      <c r="O66" s="4"/>
      <c r="P66" s="4"/>
      <c r="Q66" s="4"/>
      <c r="R66" s="4"/>
      <c r="S66" s="4"/>
      <c r="T66" s="4"/>
      <c r="U66" s="4"/>
      <c r="V66" s="4"/>
      <c r="W66" s="4"/>
      <c r="X66" s="4"/>
      <c r="Y66" s="4"/>
      <c r="Z66" s="4"/>
    </row>
    <row r="67" ht="15.75" customHeight="1">
      <c r="A67" s="201" t="s">
        <v>632</v>
      </c>
      <c r="B67" s="205" t="s">
        <v>633</v>
      </c>
      <c r="C67" s="207" t="s">
        <v>627</v>
      </c>
      <c r="D67" s="4"/>
      <c r="E67" s="4"/>
      <c r="F67" s="4"/>
      <c r="G67" s="4"/>
      <c r="H67" s="4"/>
      <c r="I67" s="4"/>
      <c r="J67" s="4"/>
      <c r="K67" s="4"/>
      <c r="L67" s="4"/>
      <c r="M67" s="4"/>
      <c r="N67" s="4"/>
      <c r="O67" s="4"/>
      <c r="P67" s="4"/>
      <c r="Q67" s="4"/>
      <c r="R67" s="4"/>
      <c r="S67" s="4"/>
      <c r="T67" s="4"/>
      <c r="U67" s="4"/>
      <c r="V67" s="4"/>
      <c r="W67" s="4"/>
      <c r="X67" s="4"/>
      <c r="Y67" s="4"/>
      <c r="Z67" s="4"/>
    </row>
    <row r="68" ht="15.75" customHeight="1">
      <c r="A68" s="201" t="s">
        <v>634</v>
      </c>
      <c r="B68" s="205" t="s">
        <v>635</v>
      </c>
      <c r="C68" s="207" t="s">
        <v>627</v>
      </c>
      <c r="D68" s="4"/>
      <c r="E68" s="4"/>
      <c r="F68" s="4"/>
      <c r="G68" s="4"/>
      <c r="H68" s="4"/>
      <c r="I68" s="4"/>
      <c r="J68" s="4"/>
      <c r="K68" s="4"/>
      <c r="L68" s="4"/>
      <c r="M68" s="4"/>
      <c r="N68" s="4"/>
      <c r="O68" s="4"/>
      <c r="P68" s="4"/>
      <c r="Q68" s="4"/>
      <c r="R68" s="4"/>
      <c r="S68" s="4"/>
      <c r="T68" s="4"/>
      <c r="U68" s="4"/>
      <c r="V68" s="4"/>
      <c r="W68" s="4"/>
      <c r="X68" s="4"/>
      <c r="Y68" s="4"/>
      <c r="Z68" s="4"/>
    </row>
    <row r="69" ht="19.5" customHeight="1">
      <c r="A69" s="201" t="s">
        <v>636</v>
      </c>
      <c r="B69" s="205" t="s">
        <v>637</v>
      </c>
      <c r="C69" s="207" t="s">
        <v>627</v>
      </c>
      <c r="D69" s="4"/>
      <c r="E69" s="4"/>
      <c r="F69" s="4"/>
      <c r="G69" s="4"/>
      <c r="H69" s="4"/>
      <c r="I69" s="4"/>
      <c r="J69" s="4"/>
      <c r="K69" s="4"/>
      <c r="L69" s="4"/>
      <c r="M69" s="4"/>
      <c r="N69" s="4"/>
      <c r="O69" s="4"/>
      <c r="P69" s="4"/>
      <c r="Q69" s="4"/>
      <c r="R69" s="4"/>
      <c r="S69" s="4"/>
      <c r="T69" s="4"/>
      <c r="U69" s="4"/>
      <c r="V69" s="4"/>
      <c r="W69" s="4"/>
      <c r="X69" s="4"/>
      <c r="Y69" s="4"/>
      <c r="Z69" s="4"/>
    </row>
    <row r="70" ht="15.75" customHeight="1">
      <c r="A70" s="14" t="s">
        <v>638</v>
      </c>
      <c r="B70" s="15"/>
      <c r="C70" s="15"/>
      <c r="D70" s="4"/>
      <c r="E70" s="4"/>
      <c r="F70" s="4"/>
      <c r="G70" s="4"/>
      <c r="H70" s="4"/>
      <c r="I70" s="4"/>
      <c r="J70" s="4"/>
      <c r="K70" s="4"/>
      <c r="L70" s="4"/>
      <c r="M70" s="4"/>
      <c r="N70" s="4"/>
      <c r="O70" s="4"/>
      <c r="P70" s="4"/>
      <c r="Q70" s="4"/>
      <c r="R70" s="4"/>
      <c r="S70" s="4"/>
      <c r="T70" s="4"/>
      <c r="U70" s="4"/>
      <c r="V70" s="4"/>
      <c r="W70" s="4"/>
      <c r="X70" s="4"/>
      <c r="Y70" s="4"/>
      <c r="Z70" s="4"/>
    </row>
    <row r="71" ht="15.75" customHeight="1">
      <c r="A71" s="201" t="s">
        <v>639</v>
      </c>
      <c r="B71" s="205" t="s">
        <v>640</v>
      </c>
      <c r="C71" s="207" t="s">
        <v>627</v>
      </c>
      <c r="D71" s="4"/>
      <c r="E71" s="4"/>
      <c r="F71" s="4"/>
      <c r="G71" s="4"/>
      <c r="H71" s="4"/>
      <c r="I71" s="4"/>
      <c r="J71" s="4"/>
      <c r="K71" s="4"/>
      <c r="L71" s="4"/>
      <c r="M71" s="4"/>
      <c r="N71" s="4"/>
      <c r="O71" s="4"/>
      <c r="P71" s="4"/>
      <c r="Q71" s="4"/>
      <c r="R71" s="4"/>
      <c r="S71" s="4"/>
      <c r="T71" s="4"/>
      <c r="U71" s="4"/>
      <c r="V71" s="4"/>
      <c r="W71" s="4"/>
      <c r="X71" s="4"/>
      <c r="Y71" s="4"/>
      <c r="Z71" s="4"/>
    </row>
    <row r="72" ht="15.75" customHeight="1">
      <c r="A72" s="201" t="s">
        <v>641</v>
      </c>
      <c r="B72" s="205" t="s">
        <v>642</v>
      </c>
      <c r="C72" s="207" t="s">
        <v>627</v>
      </c>
      <c r="D72" s="4"/>
      <c r="E72" s="4"/>
      <c r="F72" s="4"/>
      <c r="G72" s="4"/>
      <c r="H72" s="4"/>
      <c r="I72" s="4"/>
      <c r="J72" s="4"/>
      <c r="K72" s="4"/>
      <c r="L72" s="4"/>
      <c r="M72" s="4"/>
      <c r="N72" s="4"/>
      <c r="O72" s="4"/>
      <c r="P72" s="4"/>
      <c r="Q72" s="4"/>
      <c r="R72" s="4"/>
      <c r="S72" s="4"/>
      <c r="T72" s="4"/>
      <c r="U72" s="4"/>
      <c r="V72" s="4"/>
      <c r="W72" s="4"/>
      <c r="X72" s="4"/>
      <c r="Y72" s="4"/>
      <c r="Z72" s="4"/>
    </row>
    <row r="73" ht="15.75" customHeight="1">
      <c r="A73" s="201" t="s">
        <v>643</v>
      </c>
      <c r="B73" s="205" t="s">
        <v>644</v>
      </c>
      <c r="C73" s="207" t="s">
        <v>627</v>
      </c>
      <c r="D73" s="4"/>
      <c r="E73" s="4"/>
      <c r="F73" s="4"/>
      <c r="G73" s="4"/>
      <c r="H73" s="4"/>
      <c r="I73" s="4"/>
      <c r="J73" s="4"/>
      <c r="K73" s="4"/>
      <c r="L73" s="4"/>
      <c r="M73" s="4"/>
      <c r="N73" s="4"/>
      <c r="O73" s="4"/>
      <c r="P73" s="4"/>
      <c r="Q73" s="4"/>
      <c r="R73" s="4"/>
      <c r="S73" s="4"/>
      <c r="T73" s="4"/>
      <c r="U73" s="4"/>
      <c r="V73" s="4"/>
      <c r="W73" s="4"/>
      <c r="X73" s="4"/>
      <c r="Y73" s="4"/>
      <c r="Z73" s="4"/>
    </row>
    <row r="74" ht="15.75" customHeight="1">
      <c r="A74" s="11" t="s">
        <v>645</v>
      </c>
      <c r="B74" s="22"/>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30" t="s">
        <v>646</v>
      </c>
      <c r="B75" s="203" t="s">
        <v>647</v>
      </c>
      <c r="C75" s="207" t="s">
        <v>648</v>
      </c>
      <c r="D75" s="4"/>
      <c r="E75" s="4"/>
      <c r="F75" s="4"/>
      <c r="G75" s="4"/>
      <c r="H75" s="4"/>
      <c r="I75" s="4"/>
      <c r="J75" s="4"/>
      <c r="K75" s="4"/>
      <c r="L75" s="4"/>
      <c r="M75" s="4"/>
      <c r="N75" s="4"/>
      <c r="O75" s="4"/>
      <c r="P75" s="4"/>
      <c r="Q75" s="4"/>
      <c r="R75" s="4"/>
      <c r="S75" s="4"/>
      <c r="T75" s="4"/>
      <c r="U75" s="4"/>
      <c r="V75" s="4"/>
      <c r="W75" s="4"/>
      <c r="X75" s="4"/>
      <c r="Y75" s="4"/>
      <c r="Z75" s="4"/>
    </row>
    <row r="76" ht="15.75" customHeight="1">
      <c r="A76" s="30" t="s">
        <v>649</v>
      </c>
      <c r="B76" s="203" t="s">
        <v>650</v>
      </c>
      <c r="C76" s="207" t="s">
        <v>648</v>
      </c>
      <c r="D76" s="4"/>
      <c r="E76" s="4"/>
      <c r="F76" s="4"/>
      <c r="G76" s="4"/>
      <c r="H76" s="4"/>
      <c r="I76" s="4"/>
      <c r="J76" s="4"/>
      <c r="K76" s="4"/>
      <c r="L76" s="4"/>
      <c r="M76" s="4"/>
      <c r="N76" s="4"/>
      <c r="O76" s="4"/>
      <c r="P76" s="4"/>
      <c r="Q76" s="4"/>
      <c r="R76" s="4"/>
      <c r="S76" s="4"/>
      <c r="T76" s="4"/>
      <c r="U76" s="4"/>
      <c r="V76" s="4"/>
      <c r="W76" s="4"/>
      <c r="X76" s="4"/>
      <c r="Y76" s="4"/>
      <c r="Z76" s="4"/>
    </row>
    <row r="77" ht="15.75" customHeight="1">
      <c r="A77" s="30" t="s">
        <v>651</v>
      </c>
      <c r="B77" s="204" t="s">
        <v>652</v>
      </c>
      <c r="C77" s="207" t="s">
        <v>648</v>
      </c>
      <c r="D77" s="4"/>
      <c r="E77" s="4"/>
      <c r="F77" s="4"/>
      <c r="G77" s="4"/>
      <c r="H77" s="4"/>
      <c r="I77" s="4"/>
      <c r="J77" s="4"/>
      <c r="K77" s="4"/>
      <c r="L77" s="4"/>
      <c r="M77" s="4"/>
      <c r="N77" s="4"/>
      <c r="O77" s="4"/>
      <c r="P77" s="4"/>
      <c r="Q77" s="4"/>
      <c r="R77" s="4"/>
      <c r="S77" s="4"/>
      <c r="T77" s="4"/>
      <c r="U77" s="4"/>
      <c r="V77" s="4"/>
      <c r="W77" s="4"/>
      <c r="X77" s="4"/>
      <c r="Y77" s="4"/>
      <c r="Z77" s="4"/>
    </row>
    <row r="78" ht="15.75" customHeight="1">
      <c r="A78" s="30" t="s">
        <v>653</v>
      </c>
      <c r="B78" s="203" t="s">
        <v>654</v>
      </c>
      <c r="C78" s="207" t="s">
        <v>648</v>
      </c>
      <c r="D78" s="4"/>
      <c r="E78" s="4"/>
      <c r="F78" s="4"/>
      <c r="G78" s="4"/>
      <c r="H78" s="4"/>
      <c r="I78" s="4"/>
      <c r="J78" s="4"/>
      <c r="K78" s="4"/>
      <c r="L78" s="4"/>
      <c r="M78" s="4"/>
      <c r="N78" s="4"/>
      <c r="O78" s="4"/>
      <c r="P78" s="4"/>
      <c r="Q78" s="4"/>
      <c r="R78" s="4"/>
      <c r="S78" s="4"/>
      <c r="T78" s="4"/>
      <c r="U78" s="4"/>
      <c r="V78" s="4"/>
      <c r="W78" s="4"/>
      <c r="X78" s="4"/>
      <c r="Y78" s="4"/>
      <c r="Z78" s="4"/>
    </row>
    <row r="79" ht="15.75" customHeight="1">
      <c r="A79" s="30" t="s">
        <v>655</v>
      </c>
      <c r="B79" s="203" t="s">
        <v>656</v>
      </c>
      <c r="C79" s="207" t="s">
        <v>648</v>
      </c>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6" t="s">
        <v>657</v>
      </c>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11" t="s">
        <v>658</v>
      </c>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30" t="s">
        <v>659</v>
      </c>
      <c r="B84" s="203" t="s">
        <v>660</v>
      </c>
      <c r="C84" s="207" t="s">
        <v>661</v>
      </c>
      <c r="D84" s="4"/>
      <c r="E84" s="4"/>
      <c r="F84" s="4"/>
      <c r="G84" s="4"/>
      <c r="H84" s="4"/>
      <c r="I84" s="4"/>
      <c r="J84" s="4"/>
      <c r="K84" s="4"/>
      <c r="L84" s="4"/>
      <c r="M84" s="4"/>
      <c r="N84" s="4"/>
      <c r="O84" s="4"/>
      <c r="P84" s="4"/>
      <c r="Q84" s="4"/>
      <c r="R84" s="4"/>
      <c r="S84" s="4"/>
      <c r="T84" s="4"/>
      <c r="U84" s="4"/>
      <c r="V84" s="4"/>
      <c r="W84" s="4"/>
      <c r="X84" s="4"/>
      <c r="Y84" s="4"/>
      <c r="Z84" s="4"/>
    </row>
    <row r="85" ht="15.75" customHeight="1">
      <c r="A85" s="30" t="s">
        <v>662</v>
      </c>
      <c r="B85" s="203" t="s">
        <v>663</v>
      </c>
      <c r="C85" s="207" t="s">
        <v>620</v>
      </c>
      <c r="D85" s="4"/>
      <c r="E85" s="4"/>
      <c r="F85" s="4"/>
      <c r="G85" s="4"/>
      <c r="H85" s="4"/>
      <c r="I85" s="4"/>
      <c r="J85" s="4"/>
      <c r="K85" s="4"/>
      <c r="L85" s="4"/>
      <c r="M85" s="4"/>
      <c r="N85" s="4"/>
      <c r="O85" s="4"/>
      <c r="P85" s="4"/>
      <c r="Q85" s="4"/>
      <c r="R85" s="4"/>
      <c r="S85" s="4"/>
      <c r="T85" s="4"/>
      <c r="U85" s="4"/>
      <c r="V85" s="4"/>
      <c r="W85" s="4"/>
      <c r="X85" s="4"/>
      <c r="Y85" s="4"/>
      <c r="Z85" s="4"/>
    </row>
    <row r="86" ht="15.75" customHeight="1">
      <c r="A86" s="30" t="s">
        <v>664</v>
      </c>
      <c r="B86" s="203" t="s">
        <v>665</v>
      </c>
      <c r="C86" s="207" t="s">
        <v>666</v>
      </c>
      <c r="D86" s="4"/>
      <c r="E86" s="4"/>
      <c r="F86" s="4"/>
      <c r="G86" s="4"/>
      <c r="H86" s="4"/>
      <c r="I86" s="4"/>
      <c r="J86" s="4"/>
      <c r="K86" s="4"/>
      <c r="L86" s="4"/>
      <c r="M86" s="4"/>
      <c r="N86" s="4"/>
      <c r="O86" s="4"/>
      <c r="P86" s="4"/>
      <c r="Q86" s="4"/>
      <c r="R86" s="4"/>
      <c r="S86" s="4"/>
      <c r="T86" s="4"/>
      <c r="U86" s="4"/>
      <c r="V86" s="4"/>
      <c r="W86" s="4"/>
      <c r="X86" s="4"/>
      <c r="Y86" s="4"/>
      <c r="Z86" s="4"/>
    </row>
    <row r="87" ht="15.75" customHeight="1">
      <c r="A87" s="201" t="s">
        <v>667</v>
      </c>
      <c r="B87" s="205" t="s">
        <v>668</v>
      </c>
      <c r="C87" s="207" t="s">
        <v>620</v>
      </c>
      <c r="D87" s="4"/>
      <c r="E87" s="4"/>
      <c r="F87" s="4"/>
      <c r="G87" s="4"/>
      <c r="H87" s="4"/>
      <c r="I87" s="4"/>
      <c r="J87" s="4"/>
      <c r="K87" s="4"/>
      <c r="L87" s="4"/>
      <c r="M87" s="4"/>
      <c r="N87" s="4"/>
      <c r="O87" s="4"/>
      <c r="P87" s="4"/>
      <c r="Q87" s="4"/>
      <c r="R87" s="4"/>
      <c r="S87" s="4"/>
      <c r="T87" s="4"/>
      <c r="U87" s="4"/>
      <c r="V87" s="4"/>
      <c r="W87" s="4"/>
      <c r="X87" s="4"/>
      <c r="Y87" s="4"/>
      <c r="Z87" s="4"/>
    </row>
    <row r="88" ht="15.75" customHeight="1">
      <c r="A88" s="201" t="s">
        <v>669</v>
      </c>
      <c r="B88" s="205" t="s">
        <v>670</v>
      </c>
      <c r="C88" s="207" t="s">
        <v>671</v>
      </c>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B1"/>
    <mergeCell ref="A2:B2"/>
    <mergeCell ref="A81:B8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Row="1"/>
  <cols>
    <col customWidth="1" min="1" max="1" width="32.0"/>
    <col customWidth="1" min="2" max="2" width="100.0"/>
    <col customWidth="1" min="3" max="3" width="12.0"/>
    <col customWidth="1" min="4" max="6" width="8.71"/>
  </cols>
  <sheetData>
    <row r="1" ht="21.75" customHeight="1">
      <c r="A1" s="1" t="s">
        <v>672</v>
      </c>
      <c r="B1" s="2"/>
      <c r="C1" s="3"/>
      <c r="D1" s="4"/>
      <c r="E1" s="4"/>
      <c r="F1" s="4"/>
      <c r="G1" s="4"/>
      <c r="H1" s="4"/>
      <c r="I1" s="4"/>
      <c r="J1" s="4"/>
      <c r="K1" s="4"/>
      <c r="L1" s="4"/>
      <c r="M1" s="4"/>
      <c r="N1" s="4"/>
      <c r="O1" s="4"/>
      <c r="P1" s="4"/>
      <c r="Q1" s="4"/>
      <c r="R1" s="4"/>
      <c r="S1" s="4"/>
      <c r="T1" s="4"/>
      <c r="U1" s="4"/>
      <c r="V1" s="4"/>
      <c r="W1" s="4"/>
      <c r="X1" s="4"/>
      <c r="Y1" s="4"/>
      <c r="Z1" s="4"/>
    </row>
    <row r="2">
      <c r="A2" s="6" t="s">
        <v>673</v>
      </c>
      <c r="D2" s="4"/>
      <c r="E2" s="4"/>
      <c r="F2" s="4"/>
      <c r="G2" s="4"/>
      <c r="H2" s="4"/>
      <c r="I2" s="4"/>
      <c r="J2" s="4"/>
      <c r="K2" s="4"/>
      <c r="L2" s="4"/>
      <c r="M2" s="4"/>
      <c r="N2" s="4"/>
      <c r="O2" s="4"/>
      <c r="P2" s="4"/>
      <c r="Q2" s="4"/>
      <c r="R2" s="4"/>
      <c r="S2" s="4"/>
      <c r="T2" s="4"/>
      <c r="U2" s="4"/>
      <c r="V2" s="4"/>
      <c r="W2" s="4"/>
      <c r="X2" s="4"/>
      <c r="Y2" s="4"/>
      <c r="Z2" s="4"/>
    </row>
    <row r="3">
      <c r="A3" s="14" t="s">
        <v>515</v>
      </c>
      <c r="B3" s="14" t="s">
        <v>516</v>
      </c>
      <c r="C3" s="200" t="s">
        <v>674</v>
      </c>
      <c r="D3" s="4"/>
      <c r="E3" s="4"/>
      <c r="F3" s="4"/>
      <c r="G3" s="4"/>
      <c r="H3" s="4"/>
      <c r="I3" s="4"/>
      <c r="J3" s="4"/>
      <c r="K3" s="4"/>
      <c r="L3" s="4"/>
      <c r="M3" s="4"/>
      <c r="N3" s="4"/>
      <c r="O3" s="4"/>
      <c r="P3" s="4"/>
      <c r="Q3" s="4"/>
      <c r="R3" s="4"/>
      <c r="S3" s="4"/>
      <c r="T3" s="4"/>
      <c r="U3" s="4"/>
      <c r="V3" s="4"/>
      <c r="W3" s="4"/>
      <c r="X3" s="4"/>
      <c r="Y3" s="4"/>
      <c r="Z3" s="4"/>
    </row>
    <row r="4" ht="19.5" customHeight="1">
      <c r="A4" s="14" t="s">
        <v>675</v>
      </c>
      <c r="B4" s="15"/>
      <c r="C4" s="15"/>
      <c r="D4" s="4"/>
      <c r="E4" s="4"/>
      <c r="F4" s="4"/>
      <c r="G4" s="4"/>
      <c r="H4" s="4"/>
      <c r="I4" s="4"/>
      <c r="J4" s="4"/>
      <c r="K4" s="4"/>
      <c r="L4" s="4"/>
      <c r="M4" s="4"/>
      <c r="N4" s="4"/>
      <c r="O4" s="4"/>
      <c r="P4" s="4"/>
      <c r="Q4" s="4"/>
      <c r="R4" s="4"/>
      <c r="S4" s="4"/>
      <c r="T4" s="4"/>
      <c r="U4" s="4"/>
      <c r="V4" s="4"/>
      <c r="W4" s="4"/>
      <c r="X4" s="4"/>
      <c r="Y4" s="4"/>
      <c r="Z4" s="4"/>
    </row>
    <row r="5">
      <c r="A5" s="208" t="s">
        <v>676</v>
      </c>
      <c r="B5" s="205" t="s">
        <v>677</v>
      </c>
      <c r="C5" s="4"/>
      <c r="D5" s="4"/>
      <c r="E5" s="4"/>
      <c r="F5" s="4"/>
      <c r="G5" s="4"/>
      <c r="H5" s="4"/>
      <c r="I5" s="4"/>
      <c r="J5" s="4"/>
      <c r="K5" s="4"/>
      <c r="L5" s="4"/>
      <c r="M5" s="4"/>
      <c r="N5" s="4"/>
      <c r="O5" s="4"/>
      <c r="P5" s="4"/>
      <c r="Q5" s="4"/>
      <c r="R5" s="4"/>
      <c r="S5" s="4"/>
      <c r="T5" s="4"/>
      <c r="U5" s="4"/>
      <c r="V5" s="4"/>
      <c r="W5" s="4"/>
      <c r="X5" s="4"/>
      <c r="Y5" s="4"/>
      <c r="Z5" s="4"/>
    </row>
    <row r="6">
      <c r="A6" s="208" t="s">
        <v>678</v>
      </c>
      <c r="B6" s="205" t="s">
        <v>679</v>
      </c>
      <c r="C6" s="4"/>
      <c r="D6" s="4"/>
      <c r="E6" s="4"/>
      <c r="F6" s="4"/>
      <c r="G6" s="4"/>
      <c r="H6" s="4"/>
      <c r="I6" s="4"/>
      <c r="J6" s="4"/>
      <c r="K6" s="4"/>
      <c r="L6" s="4"/>
      <c r="M6" s="4"/>
      <c r="N6" s="4"/>
      <c r="O6" s="4"/>
      <c r="P6" s="4"/>
      <c r="Q6" s="4"/>
      <c r="R6" s="4"/>
      <c r="S6" s="4"/>
      <c r="T6" s="4"/>
      <c r="U6" s="4"/>
      <c r="V6" s="4"/>
      <c r="W6" s="4"/>
      <c r="X6" s="4"/>
      <c r="Y6" s="4"/>
      <c r="Z6" s="4"/>
    </row>
    <row r="7">
      <c r="A7" s="208" t="s">
        <v>680</v>
      </c>
      <c r="B7" s="205" t="s">
        <v>681</v>
      </c>
      <c r="C7" s="4"/>
      <c r="D7" s="4"/>
      <c r="E7" s="4"/>
      <c r="F7" s="4"/>
      <c r="G7" s="4"/>
      <c r="H7" s="4"/>
      <c r="I7" s="4"/>
      <c r="J7" s="4"/>
      <c r="K7" s="4"/>
      <c r="L7" s="4"/>
      <c r="M7" s="4"/>
      <c r="N7" s="4"/>
      <c r="O7" s="4"/>
      <c r="P7" s="4"/>
      <c r="Q7" s="4"/>
      <c r="R7" s="4"/>
      <c r="S7" s="4"/>
      <c r="T7" s="4"/>
      <c r="U7" s="4"/>
      <c r="V7" s="4"/>
      <c r="W7" s="4"/>
      <c r="X7" s="4"/>
      <c r="Y7" s="4"/>
      <c r="Z7" s="4"/>
    </row>
    <row r="8">
      <c r="A8" s="208" t="s">
        <v>525</v>
      </c>
      <c r="B8" s="205" t="s">
        <v>682</v>
      </c>
      <c r="C8" s="4"/>
      <c r="D8" s="4"/>
      <c r="E8" s="4"/>
      <c r="F8" s="4"/>
      <c r="G8" s="4"/>
      <c r="H8" s="4"/>
      <c r="I8" s="4"/>
      <c r="J8" s="4"/>
      <c r="K8" s="4"/>
      <c r="L8" s="4"/>
      <c r="M8" s="4"/>
      <c r="N8" s="4"/>
      <c r="O8" s="4"/>
      <c r="P8" s="4"/>
      <c r="Q8" s="4"/>
      <c r="R8" s="4"/>
      <c r="S8" s="4"/>
      <c r="T8" s="4"/>
      <c r="U8" s="4"/>
      <c r="V8" s="4"/>
      <c r="W8" s="4"/>
      <c r="X8" s="4"/>
      <c r="Y8" s="4"/>
      <c r="Z8" s="4"/>
    </row>
    <row r="9" ht="19.5" customHeight="1">
      <c r="A9" s="208" t="s">
        <v>683</v>
      </c>
      <c r="B9" s="205" t="s">
        <v>684</v>
      </c>
      <c r="C9" s="4"/>
      <c r="D9" s="4"/>
      <c r="E9" s="4"/>
      <c r="F9" s="4"/>
      <c r="G9" s="4"/>
      <c r="H9" s="4"/>
      <c r="I9" s="4"/>
      <c r="J9" s="4"/>
      <c r="K9" s="4"/>
      <c r="L9" s="4"/>
      <c r="M9" s="4"/>
      <c r="N9" s="4"/>
      <c r="O9" s="4"/>
      <c r="P9" s="4"/>
      <c r="Q9" s="4"/>
      <c r="R9" s="4"/>
      <c r="S9" s="4"/>
      <c r="T9" s="4"/>
      <c r="U9" s="4"/>
      <c r="V9" s="4"/>
      <c r="W9" s="4"/>
      <c r="X9" s="4"/>
      <c r="Y9" s="4"/>
      <c r="Z9" s="4"/>
    </row>
    <row r="10">
      <c r="A10" s="14" t="s">
        <v>685</v>
      </c>
      <c r="B10" s="15"/>
      <c r="C10" s="15"/>
      <c r="D10" s="4"/>
      <c r="E10" s="4"/>
      <c r="F10" s="4"/>
      <c r="G10" s="4"/>
      <c r="H10" s="4"/>
      <c r="I10" s="4"/>
      <c r="J10" s="4"/>
      <c r="K10" s="4"/>
      <c r="L10" s="4"/>
      <c r="M10" s="4"/>
      <c r="N10" s="4"/>
      <c r="O10" s="4"/>
      <c r="P10" s="4"/>
      <c r="Q10" s="4"/>
      <c r="R10" s="4"/>
      <c r="S10" s="4"/>
      <c r="T10" s="4"/>
      <c r="U10" s="4"/>
      <c r="V10" s="4"/>
      <c r="W10" s="4"/>
      <c r="X10" s="4"/>
      <c r="Y10" s="4"/>
      <c r="Z10" s="4"/>
    </row>
    <row r="11">
      <c r="A11" s="201" t="s">
        <v>686</v>
      </c>
      <c r="B11" s="205" t="s">
        <v>687</v>
      </c>
      <c r="C11" s="115" t="s">
        <v>688</v>
      </c>
      <c r="D11" s="4"/>
      <c r="E11" s="4"/>
      <c r="F11" s="4"/>
      <c r="G11" s="4"/>
      <c r="H11" s="4"/>
      <c r="I11" s="4"/>
      <c r="J11" s="4"/>
      <c r="K11" s="4"/>
      <c r="L11" s="4"/>
      <c r="M11" s="4"/>
      <c r="N11" s="4"/>
      <c r="O11" s="4"/>
      <c r="P11" s="4"/>
      <c r="Q11" s="4"/>
      <c r="R11" s="4"/>
      <c r="S11" s="4"/>
      <c r="T11" s="4"/>
      <c r="U11" s="4"/>
      <c r="V11" s="4"/>
      <c r="W11" s="4"/>
      <c r="X11" s="4"/>
      <c r="Y11" s="4"/>
      <c r="Z11" s="4"/>
    </row>
    <row r="12">
      <c r="A12" s="201" t="s">
        <v>689</v>
      </c>
      <c r="B12" s="205" t="s">
        <v>690</v>
      </c>
      <c r="C12" s="4"/>
      <c r="D12" s="4"/>
      <c r="E12" s="4"/>
      <c r="F12" s="4"/>
      <c r="G12" s="4"/>
      <c r="H12" s="4"/>
      <c r="I12" s="4"/>
      <c r="J12" s="4"/>
      <c r="K12" s="4"/>
      <c r="L12" s="4"/>
      <c r="M12" s="4"/>
      <c r="N12" s="4"/>
      <c r="O12" s="4"/>
      <c r="P12" s="4"/>
      <c r="Q12" s="4"/>
      <c r="R12" s="4"/>
      <c r="S12" s="4"/>
      <c r="T12" s="4"/>
      <c r="U12" s="4"/>
      <c r="V12" s="4"/>
      <c r="W12" s="4"/>
      <c r="X12" s="4"/>
      <c r="Y12" s="4"/>
      <c r="Z12" s="4"/>
    </row>
    <row r="13" ht="19.5" customHeight="1">
      <c r="A13" s="201" t="s">
        <v>691</v>
      </c>
      <c r="B13" s="205" t="str">
        <f>"On conservative income, Jewell Group Trust equity ≈ −$"&amp;TEXT(-'Net Worth Forecast — 1 Oct 2026'!B18/1000,"#,##0.0")&amp;"k by Oct-26. Not a crisis (you fund it), but it means the business is consuming personal capital monthly."</f>
        <v>On conservative income, Jewell Group Trust equity ≈ −$9.2k by Oct-26. Not a crisis (you fund it), but it means the business is consuming personal capital monthly.</v>
      </c>
      <c r="C13" s="4"/>
      <c r="D13" s="4"/>
      <c r="E13" s="4"/>
      <c r="F13" s="4"/>
      <c r="G13" s="4"/>
      <c r="H13" s="4"/>
      <c r="I13" s="4"/>
      <c r="J13" s="4"/>
      <c r="K13" s="4"/>
      <c r="L13" s="4"/>
      <c r="M13" s="4"/>
      <c r="N13" s="4"/>
      <c r="O13" s="4"/>
      <c r="P13" s="4"/>
      <c r="Q13" s="4"/>
      <c r="R13" s="4"/>
      <c r="S13" s="4"/>
      <c r="T13" s="4"/>
      <c r="U13" s="4"/>
      <c r="V13" s="4"/>
      <c r="W13" s="4"/>
      <c r="X13" s="4"/>
      <c r="Y13" s="4"/>
      <c r="Z13" s="4"/>
    </row>
    <row r="14">
      <c r="A14" s="14" t="s">
        <v>692</v>
      </c>
      <c r="B14" s="15"/>
      <c r="C14" s="15"/>
      <c r="D14" s="4"/>
      <c r="E14" s="4"/>
      <c r="F14" s="4"/>
      <c r="G14" s="4"/>
      <c r="H14" s="4"/>
      <c r="I14" s="4"/>
      <c r="J14" s="4"/>
      <c r="K14" s="4"/>
      <c r="L14" s="4"/>
      <c r="M14" s="4"/>
      <c r="N14" s="4"/>
      <c r="O14" s="4"/>
      <c r="P14" s="4"/>
      <c r="Q14" s="4"/>
      <c r="R14" s="4"/>
      <c r="S14" s="4"/>
      <c r="T14" s="4"/>
      <c r="U14" s="4"/>
      <c r="V14" s="4"/>
      <c r="W14" s="4"/>
      <c r="X14" s="4"/>
      <c r="Y14" s="4"/>
      <c r="Z14" s="4"/>
    </row>
    <row r="15" ht="19.5" customHeight="1">
      <c r="A15" s="201" t="s">
        <v>693</v>
      </c>
      <c r="B15" s="205" t="s">
        <v>694</v>
      </c>
      <c r="C15" s="4"/>
      <c r="D15" s="4"/>
      <c r="E15" s="4"/>
      <c r="F15" s="4"/>
      <c r="G15" s="4"/>
      <c r="H15" s="4"/>
      <c r="I15" s="4"/>
      <c r="J15" s="4"/>
      <c r="K15" s="4"/>
      <c r="L15" s="4"/>
      <c r="M15" s="4"/>
      <c r="N15" s="4"/>
      <c r="O15" s="4"/>
      <c r="P15" s="4"/>
      <c r="Q15" s="4"/>
      <c r="R15" s="4"/>
      <c r="S15" s="4"/>
      <c r="T15" s="4"/>
      <c r="U15" s="4"/>
      <c r="V15" s="4"/>
      <c r="W15" s="4"/>
      <c r="X15" s="4"/>
      <c r="Y15" s="4"/>
      <c r="Z15" s="4"/>
    </row>
    <row r="16">
      <c r="A16" s="14" t="s">
        <v>695</v>
      </c>
      <c r="B16" s="15"/>
      <c r="C16" s="15"/>
      <c r="D16" s="4"/>
      <c r="E16" s="4"/>
      <c r="F16" s="4"/>
      <c r="G16" s="4"/>
      <c r="H16" s="4"/>
      <c r="I16" s="4"/>
      <c r="J16" s="4"/>
      <c r="K16" s="4"/>
      <c r="L16" s="4"/>
      <c r="M16" s="4"/>
      <c r="N16" s="4"/>
      <c r="O16" s="4"/>
      <c r="P16" s="4"/>
      <c r="Q16" s="4"/>
      <c r="R16" s="4"/>
      <c r="S16" s="4"/>
      <c r="T16" s="4"/>
      <c r="U16" s="4"/>
      <c r="V16" s="4"/>
      <c r="W16" s="4"/>
      <c r="X16" s="4"/>
      <c r="Y16" s="4"/>
      <c r="Z16" s="4"/>
    </row>
    <row r="17">
      <c r="A17" s="201" t="s">
        <v>696</v>
      </c>
      <c r="B17" s="205" t="s">
        <v>697</v>
      </c>
      <c r="C17" s="4"/>
      <c r="D17" s="4"/>
      <c r="E17" s="4"/>
      <c r="F17" s="4"/>
      <c r="G17" s="4"/>
      <c r="H17" s="4"/>
      <c r="I17" s="4"/>
      <c r="J17" s="4"/>
      <c r="K17" s="4"/>
      <c r="L17" s="4"/>
      <c r="M17" s="4"/>
      <c r="N17" s="4"/>
      <c r="O17" s="4"/>
      <c r="P17" s="4"/>
      <c r="Q17" s="4"/>
      <c r="R17" s="4"/>
      <c r="S17" s="4"/>
      <c r="T17" s="4"/>
      <c r="U17" s="4"/>
      <c r="V17" s="4"/>
      <c r="W17" s="4"/>
      <c r="X17" s="4"/>
      <c r="Y17" s="4"/>
      <c r="Z17" s="4"/>
    </row>
    <row r="18">
      <c r="A18" s="201" t="s">
        <v>698</v>
      </c>
      <c r="B18" s="205" t="s">
        <v>699</v>
      </c>
      <c r="C18" s="4"/>
      <c r="D18" s="4"/>
      <c r="E18" s="4"/>
      <c r="F18" s="4"/>
      <c r="G18" s="4"/>
      <c r="H18" s="4"/>
      <c r="I18" s="4"/>
      <c r="J18" s="4"/>
      <c r="K18" s="4"/>
      <c r="L18" s="4"/>
      <c r="M18" s="4"/>
      <c r="N18" s="4"/>
      <c r="O18" s="4"/>
      <c r="P18" s="4"/>
      <c r="Q18" s="4"/>
      <c r="R18" s="4"/>
      <c r="S18" s="4"/>
      <c r="T18" s="4"/>
      <c r="U18" s="4"/>
      <c r="V18" s="4"/>
      <c r="W18" s="4"/>
      <c r="X18" s="4"/>
      <c r="Y18" s="4"/>
      <c r="Z18" s="4"/>
    </row>
    <row r="19">
      <c r="A19" s="201" t="s">
        <v>700</v>
      </c>
      <c r="B19" s="205" t="s">
        <v>701</v>
      </c>
      <c r="C19" s="4"/>
      <c r="D19" s="4"/>
      <c r="E19" s="4"/>
      <c r="F19" s="4"/>
      <c r="G19" s="4"/>
      <c r="H19" s="4"/>
      <c r="I19" s="4"/>
      <c r="J19" s="4"/>
      <c r="K19" s="4"/>
      <c r="L19" s="4"/>
      <c r="M19" s="4"/>
      <c r="N19" s="4"/>
      <c r="O19" s="4"/>
      <c r="P19" s="4"/>
      <c r="Q19" s="4"/>
      <c r="R19" s="4"/>
      <c r="S19" s="4"/>
      <c r="T19" s="4"/>
      <c r="U19" s="4"/>
      <c r="V19" s="4"/>
      <c r="W19" s="4"/>
      <c r="X19" s="4"/>
      <c r="Y19" s="4"/>
      <c r="Z19" s="4"/>
    </row>
    <row r="20" ht="19.5" customHeight="1">
      <c r="A20" s="201" t="s">
        <v>702</v>
      </c>
      <c r="B20" s="205" t="s">
        <v>703</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201" t="s">
        <v>704</v>
      </c>
      <c r="B21" s="205" t="s">
        <v>705</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201" t="s">
        <v>706</v>
      </c>
      <c r="B22" s="205" t="s">
        <v>707</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14" t="s">
        <v>708</v>
      </c>
      <c r="B23" s="15"/>
      <c r="C23" s="15"/>
      <c r="D23" s="4"/>
      <c r="E23" s="4"/>
      <c r="F23" s="4"/>
      <c r="G23" s="4"/>
      <c r="H23" s="4"/>
      <c r="I23" s="4"/>
      <c r="J23" s="4"/>
      <c r="K23" s="4"/>
      <c r="L23" s="4"/>
      <c r="M23" s="4"/>
      <c r="N23" s="4"/>
      <c r="O23" s="4"/>
      <c r="P23" s="4"/>
      <c r="Q23" s="4"/>
      <c r="R23" s="4"/>
      <c r="S23" s="4"/>
      <c r="T23" s="4"/>
      <c r="U23" s="4"/>
      <c r="V23" s="4"/>
      <c r="W23" s="4"/>
      <c r="X23" s="4"/>
      <c r="Y23" s="4"/>
      <c r="Z23" s="4"/>
    </row>
    <row r="24" ht="15.75" customHeight="1">
      <c r="A24" s="201" t="s">
        <v>709</v>
      </c>
      <c r="B24" s="205" t="s">
        <v>710</v>
      </c>
      <c r="C24" s="4"/>
      <c r="D24" s="4"/>
      <c r="E24" s="4"/>
      <c r="F24" s="4"/>
      <c r="G24" s="4"/>
      <c r="H24" s="4"/>
      <c r="I24" s="4"/>
      <c r="J24" s="4"/>
      <c r="K24" s="4"/>
      <c r="L24" s="4"/>
      <c r="M24" s="4"/>
      <c r="N24" s="4"/>
      <c r="O24" s="4"/>
      <c r="P24" s="4"/>
      <c r="Q24" s="4"/>
      <c r="R24" s="4"/>
      <c r="S24" s="4"/>
      <c r="T24" s="4"/>
      <c r="U24" s="4"/>
      <c r="V24" s="4"/>
      <c r="W24" s="4"/>
      <c r="X24" s="4"/>
      <c r="Y24" s="4"/>
      <c r="Z24" s="4"/>
    </row>
    <row r="25" ht="19.5" customHeight="1">
      <c r="A25" s="201" t="s">
        <v>711</v>
      </c>
      <c r="B25" s="205" t="s">
        <v>712</v>
      </c>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201" t="s">
        <v>713</v>
      </c>
      <c r="B26" s="205" t="s">
        <v>714</v>
      </c>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201" t="s">
        <v>715</v>
      </c>
      <c r="B27" s="205" t="s">
        <v>716</v>
      </c>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14" t="s">
        <v>717</v>
      </c>
      <c r="B28" s="15"/>
      <c r="C28" s="15"/>
      <c r="D28" s="4"/>
      <c r="E28" s="4"/>
      <c r="F28" s="4"/>
      <c r="G28" s="4"/>
      <c r="H28" s="4"/>
      <c r="I28" s="4"/>
      <c r="J28" s="4"/>
      <c r="K28" s="4"/>
      <c r="L28" s="4"/>
      <c r="M28" s="4"/>
      <c r="N28" s="4"/>
      <c r="O28" s="4"/>
      <c r="P28" s="4"/>
      <c r="Q28" s="4"/>
      <c r="R28" s="4"/>
      <c r="S28" s="4"/>
      <c r="T28" s="4"/>
      <c r="U28" s="4"/>
      <c r="V28" s="4"/>
      <c r="W28" s="4"/>
      <c r="X28" s="4"/>
      <c r="Y28" s="4"/>
      <c r="Z28" s="4"/>
    </row>
    <row r="29" ht="15.75" customHeight="1">
      <c r="A29" s="201" t="s">
        <v>718</v>
      </c>
      <c r="B29" s="205" t="s">
        <v>719</v>
      </c>
      <c r="C29" s="4"/>
      <c r="D29" s="4"/>
      <c r="E29" s="4"/>
      <c r="F29" s="4"/>
      <c r="G29" s="4"/>
      <c r="H29" s="4"/>
      <c r="I29" s="4"/>
      <c r="J29" s="4"/>
      <c r="K29" s="4"/>
      <c r="L29" s="4"/>
      <c r="M29" s="4"/>
      <c r="N29" s="4"/>
      <c r="O29" s="4"/>
      <c r="P29" s="4"/>
      <c r="Q29" s="4"/>
      <c r="R29" s="4"/>
      <c r="S29" s="4"/>
      <c r="T29" s="4"/>
      <c r="U29" s="4"/>
      <c r="V29" s="4"/>
      <c r="W29" s="4"/>
      <c r="X29" s="4"/>
      <c r="Y29" s="4"/>
      <c r="Z29" s="4"/>
    </row>
    <row r="30" ht="19.5" customHeight="1">
      <c r="A30" s="201" t="s">
        <v>720</v>
      </c>
      <c r="B30" s="205" t="s">
        <v>721</v>
      </c>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201" t="s">
        <v>722</v>
      </c>
      <c r="B31" s="205" t="s">
        <v>723</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201" t="s">
        <v>724</v>
      </c>
      <c r="B32" s="205" t="s">
        <v>725</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201" t="s">
        <v>726</v>
      </c>
      <c r="B33" s="205" t="s">
        <v>727</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14" t="s">
        <v>728</v>
      </c>
      <c r="B34" s="15"/>
      <c r="C34" s="15"/>
      <c r="D34" s="4"/>
      <c r="E34" s="4"/>
      <c r="F34" s="4"/>
      <c r="G34" s="4"/>
      <c r="H34" s="4"/>
      <c r="I34" s="4"/>
      <c r="J34" s="4"/>
      <c r="K34" s="4"/>
      <c r="L34" s="4"/>
      <c r="M34" s="4"/>
      <c r="N34" s="4"/>
      <c r="O34" s="4"/>
      <c r="P34" s="4"/>
      <c r="Q34" s="4"/>
      <c r="R34" s="4"/>
      <c r="S34" s="4"/>
      <c r="T34" s="4"/>
      <c r="U34" s="4"/>
      <c r="V34" s="4"/>
      <c r="W34" s="4"/>
      <c r="X34" s="4"/>
      <c r="Y34" s="4"/>
      <c r="Z34" s="4"/>
    </row>
    <row r="35" ht="15.75" customHeight="1">
      <c r="A35" s="201" t="s">
        <v>729</v>
      </c>
      <c r="B35" s="205" t="s">
        <v>730</v>
      </c>
      <c r="C35" s="209" t="s">
        <v>731</v>
      </c>
      <c r="D35" s="4"/>
      <c r="E35" s="4"/>
      <c r="F35" s="4"/>
      <c r="G35" s="4"/>
      <c r="H35" s="4"/>
      <c r="I35" s="4"/>
      <c r="J35" s="4"/>
      <c r="K35" s="4"/>
      <c r="L35" s="4"/>
      <c r="M35" s="4"/>
      <c r="N35" s="4"/>
      <c r="O35" s="4"/>
      <c r="P35" s="4"/>
      <c r="Q35" s="4"/>
      <c r="R35" s="4"/>
      <c r="S35" s="4"/>
      <c r="T35" s="4"/>
      <c r="U35" s="4"/>
      <c r="V35" s="4"/>
      <c r="W35" s="4"/>
      <c r="X35" s="4"/>
      <c r="Y35" s="4"/>
      <c r="Z35" s="4"/>
    </row>
    <row r="36" ht="15.75" customHeight="1">
      <c r="A36" s="201" t="s">
        <v>729</v>
      </c>
      <c r="B36" s="205" t="s">
        <v>732</v>
      </c>
      <c r="C36" s="209" t="s">
        <v>731</v>
      </c>
      <c r="D36" s="4"/>
      <c r="E36" s="4"/>
      <c r="F36" s="4"/>
      <c r="G36" s="4"/>
      <c r="H36" s="4"/>
      <c r="I36" s="4"/>
      <c r="J36" s="4"/>
      <c r="K36" s="4"/>
      <c r="L36" s="4"/>
      <c r="M36" s="4"/>
      <c r="N36" s="4"/>
      <c r="O36" s="4"/>
      <c r="P36" s="4"/>
      <c r="Q36" s="4"/>
      <c r="R36" s="4"/>
      <c r="S36" s="4"/>
      <c r="T36" s="4"/>
      <c r="U36" s="4"/>
      <c r="V36" s="4"/>
      <c r="W36" s="4"/>
      <c r="X36" s="4"/>
      <c r="Y36" s="4"/>
      <c r="Z36" s="4"/>
    </row>
    <row r="37" ht="15.75" customHeight="1">
      <c r="A37" s="201" t="s">
        <v>733</v>
      </c>
      <c r="B37" s="205" t="s">
        <v>734</v>
      </c>
      <c r="C37" s="209" t="s">
        <v>731</v>
      </c>
      <c r="D37" s="4"/>
      <c r="E37" s="4"/>
      <c r="F37" s="4"/>
      <c r="G37" s="4"/>
      <c r="H37" s="4"/>
      <c r="I37" s="4"/>
      <c r="J37" s="4"/>
      <c r="K37" s="4"/>
      <c r="L37" s="4"/>
      <c r="M37" s="4"/>
      <c r="N37" s="4"/>
      <c r="O37" s="4"/>
      <c r="P37" s="4"/>
      <c r="Q37" s="4"/>
      <c r="R37" s="4"/>
      <c r="S37" s="4"/>
      <c r="T37" s="4"/>
      <c r="U37" s="4"/>
      <c r="V37" s="4"/>
      <c r="W37" s="4"/>
      <c r="X37" s="4"/>
      <c r="Y37" s="4"/>
      <c r="Z37" s="4"/>
    </row>
    <row r="38" ht="15.75" customHeight="1">
      <c r="A38" s="201" t="s">
        <v>735</v>
      </c>
      <c r="B38" s="205" t="s">
        <v>736</v>
      </c>
      <c r="C38" s="210" t="s">
        <v>731</v>
      </c>
      <c r="D38" s="4"/>
      <c r="E38" s="4"/>
      <c r="F38" s="4"/>
      <c r="G38" s="4"/>
      <c r="H38" s="4"/>
      <c r="I38" s="4"/>
      <c r="J38" s="4"/>
      <c r="K38" s="4"/>
      <c r="L38" s="4"/>
      <c r="M38" s="4"/>
      <c r="N38" s="4"/>
      <c r="O38" s="4"/>
      <c r="P38" s="4"/>
      <c r="Q38" s="4"/>
      <c r="R38" s="4"/>
      <c r="S38" s="4"/>
      <c r="T38" s="4"/>
      <c r="U38" s="4"/>
      <c r="V38" s="4"/>
      <c r="W38" s="4"/>
      <c r="X38" s="4"/>
      <c r="Y38" s="4"/>
      <c r="Z38" s="4"/>
    </row>
    <row r="39" ht="15.75" customHeight="1">
      <c r="A39" s="201" t="s">
        <v>737</v>
      </c>
      <c r="B39" s="205" t="s">
        <v>738</v>
      </c>
      <c r="C39" s="210" t="s">
        <v>739</v>
      </c>
      <c r="D39" s="4"/>
      <c r="E39" s="4"/>
      <c r="F39" s="4"/>
      <c r="G39" s="4"/>
      <c r="H39" s="4"/>
      <c r="I39" s="4"/>
      <c r="J39" s="4"/>
      <c r="K39" s="4"/>
      <c r="L39" s="4"/>
      <c r="M39" s="4"/>
      <c r="N39" s="4"/>
      <c r="O39" s="4"/>
      <c r="P39" s="4"/>
      <c r="Q39" s="4"/>
      <c r="R39" s="4"/>
      <c r="S39" s="4"/>
      <c r="T39" s="4"/>
      <c r="U39" s="4"/>
      <c r="V39" s="4"/>
      <c r="W39" s="4"/>
      <c r="X39" s="4"/>
      <c r="Y39" s="4"/>
      <c r="Z39" s="4"/>
    </row>
    <row r="40" ht="15.75" customHeight="1">
      <c r="A40" s="201" t="s">
        <v>740</v>
      </c>
      <c r="B40" s="205" t="s">
        <v>741</v>
      </c>
      <c r="C40" s="211" t="s">
        <v>739</v>
      </c>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6" t="s">
        <v>742</v>
      </c>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C1"/>
    <mergeCell ref="A2:C2"/>
    <mergeCell ref="A42:C4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2026-07-07T03:01:26Z</dcterms:created>
  <dc:creator>openpyxl</dc:creator>
</cp:coreProperties>
</file>